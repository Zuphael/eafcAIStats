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ypuppa/Desktop/"/>
    </mc:Choice>
  </mc:AlternateContent>
  <xr:revisionPtr revIDLastSave="0" documentId="8_{152EED99-481C-8D4F-A2D6-1D184718EF27}" xr6:coauthVersionLast="47" xr6:coauthVersionMax="47" xr10:uidLastSave="{00000000-0000-0000-0000-000000000000}"/>
  <bookViews>
    <workbookView xWindow="1900" yWindow="3540" windowWidth="36000" windowHeight="22580" xr2:uid="{00000000-000D-0000-FFFF-FFFF00000000}"/>
  </bookViews>
  <sheets>
    <sheet name="Dashboard" sheetId="1" r:id="rId1"/>
    <sheet name="DataGames" sheetId="2" r:id="rId2"/>
    <sheet name="DataPlayer" sheetId="3" r:id="rId3"/>
    <sheet name="Readme" sheetId="4" r:id="rId4"/>
  </sheets>
  <definedNames>
    <definedName name="_xlnm._FilterDatabase" localSheetId="2" hidden="1">DataPlayer!$A$1:$I$1114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33" i="1" l="1" a="1"/>
  <c r="C33" i="1" s="1"/>
  <c r="J59" i="1" a="1"/>
  <c r="J59" i="1" s="1"/>
  <c r="F71" i="1" a="1"/>
  <c r="F71" i="1" s="1"/>
  <c r="F67" i="1" a="1"/>
  <c r="F67" i="1" s="1"/>
  <c r="D63" i="1" a="1"/>
  <c r="D63" i="1" s="1"/>
  <c r="F59" i="1" a="1"/>
  <c r="F59" i="1" s="1"/>
  <c r="J26" i="1" a="1"/>
  <c r="J26" i="1" s="1"/>
  <c r="I24" i="1" a="1"/>
  <c r="I24" i="1" s="1"/>
  <c r="J21" i="1" a="1"/>
  <c r="J21" i="1" s="1"/>
  <c r="J19" i="1" a="1"/>
  <c r="J19" i="1" s="1"/>
  <c r="E18" i="1" a="1"/>
  <c r="E18" i="1" s="1"/>
  <c r="F16" i="1" a="1"/>
  <c r="F16" i="1" s="1"/>
  <c r="G13" i="1" a="1"/>
  <c r="G13" i="1" s="1"/>
  <c r="E10" i="1" a="1"/>
  <c r="E10" i="1" s="1"/>
  <c r="I6" i="1" a="1"/>
  <c r="I6" i="1" s="1"/>
  <c r="J4" i="1" a="1"/>
  <c r="J4" i="1" s="1"/>
  <c r="G6" i="1" a="1"/>
  <c r="G6" i="1" s="1"/>
  <c r="D71" i="1" a="1"/>
  <c r="D71" i="1" s="1"/>
  <c r="D59" i="1" a="1"/>
  <c r="D59" i="1" s="1"/>
  <c r="I26" i="1" a="1"/>
  <c r="I26" i="1" s="1"/>
  <c r="G24" i="1" a="1"/>
  <c r="G24" i="1" s="1"/>
  <c r="I21" i="1" a="1"/>
  <c r="I21" i="1" s="1"/>
  <c r="I19" i="1" a="1"/>
  <c r="I19" i="1" s="1"/>
  <c r="J17" i="1" a="1"/>
  <c r="J17" i="1" s="1"/>
  <c r="E16" i="1" a="1"/>
  <c r="E16" i="1" s="1"/>
  <c r="F13" i="1" a="1"/>
  <c r="F13" i="1" s="1"/>
  <c r="J11" i="1" a="1"/>
  <c r="J11" i="1" s="1"/>
  <c r="F8" i="1" a="1"/>
  <c r="F8" i="1" s="1"/>
  <c r="I4" i="1" a="1"/>
  <c r="I4" i="1" s="1"/>
  <c r="F70" i="1" a="1"/>
  <c r="F70" i="1" s="1"/>
  <c r="D67" i="1" a="1"/>
  <c r="D67" i="1" s="1"/>
  <c r="F62" i="1" a="1"/>
  <c r="F62" i="1" s="1"/>
  <c r="F58" i="1" a="1"/>
  <c r="F58" i="1" s="1"/>
  <c r="J35" i="1" a="1"/>
  <c r="J35" i="1" s="1"/>
  <c r="G26" i="1" a="1"/>
  <c r="G26" i="1" s="1"/>
  <c r="F24" i="1" a="1"/>
  <c r="F24" i="1" s="1"/>
  <c r="G21" i="1" a="1"/>
  <c r="G21" i="1" s="1"/>
  <c r="I17" i="1" a="1"/>
  <c r="I17" i="1" s="1"/>
  <c r="E13" i="1" a="1"/>
  <c r="E13" i="1" s="1"/>
  <c r="I11" i="1" a="1"/>
  <c r="I11" i="1" s="1"/>
  <c r="J9" i="1" a="1"/>
  <c r="J9" i="1" s="1"/>
  <c r="E8" i="1" a="1"/>
  <c r="E8" i="1" s="1"/>
  <c r="F6" i="1" a="1"/>
  <c r="F6" i="1" s="1"/>
  <c r="G5" i="1" a="1"/>
  <c r="G5" i="1" s="1"/>
  <c r="D70" i="1" a="1"/>
  <c r="D70" i="1" s="1"/>
  <c r="D58" i="1" a="1"/>
  <c r="D58" i="1" s="1"/>
  <c r="F26" i="1" a="1"/>
  <c r="F26" i="1" s="1"/>
  <c r="E24" i="1" a="1"/>
  <c r="E24" i="1" s="1"/>
  <c r="F21" i="1" a="1"/>
  <c r="F21" i="1" s="1"/>
  <c r="G19" i="1" a="1"/>
  <c r="G19" i="1" s="1"/>
  <c r="J14" i="1" a="1"/>
  <c r="J14" i="1" s="1"/>
  <c r="J12" i="1" a="1"/>
  <c r="J12" i="1" s="1"/>
  <c r="G11" i="1" a="1"/>
  <c r="G11" i="1" s="1"/>
  <c r="J7" i="1" a="1"/>
  <c r="J7" i="1" s="1"/>
  <c r="F4" i="1" a="1"/>
  <c r="F4" i="1" s="1"/>
  <c r="I9" i="1" a="1"/>
  <c r="I9" i="1" s="1"/>
  <c r="E4" i="1" a="1"/>
  <c r="E4" i="1" s="1"/>
  <c r="F69" i="1" a="1"/>
  <c r="F69" i="1" s="1"/>
  <c r="F66" i="1" a="1"/>
  <c r="F66" i="1" s="1"/>
  <c r="D62" i="1" a="1"/>
  <c r="D62" i="1" s="1"/>
  <c r="F57" i="1" a="1"/>
  <c r="F57" i="1" s="1"/>
  <c r="E26" i="1" a="1"/>
  <c r="E26" i="1" s="1"/>
  <c r="J22" i="1" a="1"/>
  <c r="J22" i="1" s="1"/>
  <c r="E21" i="1" a="1"/>
  <c r="E21" i="1" s="1"/>
  <c r="F19" i="1" a="1"/>
  <c r="F19" i="1" s="1"/>
  <c r="G17" i="1" a="1"/>
  <c r="G17" i="1" s="1"/>
  <c r="I14" i="1" a="1"/>
  <c r="I14" i="1" s="1"/>
  <c r="F11" i="1" a="1"/>
  <c r="F11" i="1" s="1"/>
  <c r="E6" i="1" a="1"/>
  <c r="E6" i="1" s="1"/>
  <c r="I7" i="1" a="1"/>
  <c r="I7" i="1" s="1"/>
  <c r="D69" i="1" a="1"/>
  <c r="D69" i="1" s="1"/>
  <c r="D66" i="1" a="1"/>
  <c r="D66" i="1" s="1"/>
  <c r="J30" i="1" a="1"/>
  <c r="J30" i="1" s="1"/>
  <c r="J25" i="1" a="1"/>
  <c r="J25" i="1" s="1"/>
  <c r="I22" i="1" a="1"/>
  <c r="I22" i="1" s="1"/>
  <c r="J20" i="1" a="1"/>
  <c r="J20" i="1" s="1"/>
  <c r="E19" i="1" a="1"/>
  <c r="E19" i="1" s="1"/>
  <c r="G14" i="1" a="1"/>
  <c r="G14" i="1" s="1"/>
  <c r="I12" i="1" a="1"/>
  <c r="I12" i="1" s="1"/>
  <c r="E11" i="1" a="1"/>
  <c r="E11" i="1" s="1"/>
  <c r="G9" i="1" a="1"/>
  <c r="G9" i="1" s="1"/>
  <c r="J5" i="1" a="1"/>
  <c r="J5" i="1" s="1"/>
  <c r="E5" i="1" a="1"/>
  <c r="E5" i="1" s="1"/>
  <c r="J6" i="1" a="1"/>
  <c r="J6" i="1" s="1"/>
  <c r="G8" i="1" a="1"/>
  <c r="G8" i="1" s="1"/>
  <c r="F10" i="1" a="1"/>
  <c r="F10" i="1" s="1"/>
  <c r="E12" i="1" a="1"/>
  <c r="E12" i="1" s="1"/>
  <c r="I13" i="1" a="1"/>
  <c r="I13" i="1" s="1"/>
  <c r="G16" i="1" a="1"/>
  <c r="G16" i="1" s="1"/>
  <c r="E20" i="1" a="1"/>
  <c r="E20" i="1" s="1"/>
  <c r="J24" i="1" a="1"/>
  <c r="J24" i="1" s="1"/>
  <c r="D60" i="1" a="1"/>
  <c r="D60" i="1" s="1"/>
  <c r="F63" i="1" a="1"/>
  <c r="F63" i="1" s="1"/>
  <c r="E7" i="1" a="1"/>
  <c r="E7" i="1" s="1"/>
  <c r="G10" i="1" a="1"/>
  <c r="G10" i="1" s="1"/>
  <c r="J13" i="1" a="1"/>
  <c r="J13" i="1" s="1"/>
  <c r="I16" i="1" a="1"/>
  <c r="I16" i="1" s="1"/>
  <c r="F18" i="1" a="1"/>
  <c r="F18" i="1" s="1"/>
  <c r="F20" i="1" a="1"/>
  <c r="F20" i="1" s="1"/>
  <c r="E22" i="1" a="1"/>
  <c r="E22" i="1" s="1"/>
  <c r="E25" i="1" a="1"/>
  <c r="E25" i="1" s="1"/>
  <c r="F60" i="1" a="1"/>
  <c r="F60" i="1" s="1"/>
  <c r="D64" i="1" a="1"/>
  <c r="D64" i="1" s="1"/>
  <c r="D68" i="1" a="1"/>
  <c r="D68" i="1" s="1"/>
  <c r="G4" i="1" a="1"/>
  <c r="G4" i="1" s="1"/>
  <c r="F5" i="1" a="1"/>
  <c r="F5" i="1" s="1"/>
  <c r="I8" i="1" a="1"/>
  <c r="I8" i="1" s="1"/>
  <c r="F7" i="1" a="1"/>
  <c r="F7" i="1" s="1"/>
  <c r="J8" i="1" a="1"/>
  <c r="J8" i="1" s="1"/>
  <c r="F12" i="1" a="1"/>
  <c r="F12" i="1" s="1"/>
  <c r="E14" i="1" a="1"/>
  <c r="E14" i="1" s="1"/>
  <c r="J16" i="1" a="1"/>
  <c r="J16" i="1" s="1"/>
  <c r="G18" i="1" a="1"/>
  <c r="G18" i="1" s="1"/>
  <c r="F22" i="1" a="1"/>
  <c r="F22" i="1" s="1"/>
  <c r="F25" i="1" a="1"/>
  <c r="F25" i="1" s="1"/>
  <c r="D61" i="1" a="1"/>
  <c r="D61" i="1" s="1"/>
  <c r="F64" i="1" a="1"/>
  <c r="F64" i="1" s="1"/>
  <c r="E9" i="1" a="1"/>
  <c r="E9" i="1" s="1"/>
  <c r="I10" i="1" a="1"/>
  <c r="I10" i="1" s="1"/>
  <c r="F14" i="1" a="1"/>
  <c r="F14" i="1" s="1"/>
  <c r="E17" i="1" a="1"/>
  <c r="E17" i="1" s="1"/>
  <c r="I18" i="1" a="1"/>
  <c r="I18" i="1" s="1"/>
  <c r="G20" i="1" a="1"/>
  <c r="G20" i="1" s="1"/>
  <c r="G22" i="1" a="1"/>
  <c r="G22" i="1" s="1"/>
  <c r="G25" i="1" a="1"/>
  <c r="G25" i="1" s="1"/>
  <c r="G30" i="1" a="1"/>
  <c r="G30" i="1" s="1"/>
  <c r="D65" i="1" a="1"/>
  <c r="D65" i="1" s="1"/>
  <c r="F68" i="1" a="1"/>
  <c r="F68" i="1" s="1"/>
  <c r="G7" i="1" a="1"/>
  <c r="G7" i="1" s="1"/>
  <c r="I5" i="1" a="1"/>
  <c r="I5" i="1" s="1"/>
  <c r="F9" i="1" a="1"/>
  <c r="F9" i="1" s="1"/>
  <c r="J10" i="1" a="1"/>
  <c r="J10" i="1" s="1"/>
  <c r="G12" i="1" a="1"/>
  <c r="G12" i="1" s="1"/>
  <c r="F17" i="1" a="1"/>
  <c r="F17" i="1" s="1"/>
  <c r="J18" i="1" a="1"/>
  <c r="J18" i="1" s="1"/>
  <c r="I20" i="1" a="1"/>
  <c r="I20" i="1" s="1"/>
  <c r="I25" i="1" a="1"/>
  <c r="I25" i="1" s="1"/>
  <c r="H30" i="1" a="1"/>
  <c r="H30" i="1" s="1"/>
  <c r="D57" i="1" a="1"/>
  <c r="D57" i="1" s="1"/>
  <c r="F61" i="1" a="1"/>
  <c r="F61" i="1" s="1"/>
  <c r="F65" i="1" a="1"/>
  <c r="F65" i="1" s="1"/>
  <c r="E63" i="1" l="1"/>
  <c r="C30" i="1" a="1"/>
  <c r="C30" i="1" s="1"/>
  <c r="D30" i="1" a="1"/>
  <c r="D30" i="1" s="1"/>
  <c r="E30" i="1" a="1"/>
  <c r="E30" i="1" s="1"/>
  <c r="E64" i="1"/>
  <c r="E65" i="1" s="1"/>
  <c r="E66" i="1" s="1"/>
  <c r="E67" i="1" s="1"/>
  <c r="E68" i="1" s="1"/>
  <c r="E69" i="1" s="1"/>
  <c r="E70" i="1" s="1"/>
  <c r="E71" i="1" s="1"/>
  <c r="E57" i="1"/>
  <c r="E58" i="1" s="1"/>
  <c r="I63" i="1" a="1"/>
  <c r="I63" i="1" s="1"/>
  <c r="J63" i="1" a="1"/>
  <c r="J63" i="1" s="1"/>
  <c r="I64" i="1" a="1"/>
  <c r="I64" i="1" s="1"/>
  <c r="J64" i="1" a="1"/>
  <c r="J64" i="1" s="1"/>
  <c r="I53" i="1" a="1"/>
  <c r="I53" i="1" s="1"/>
  <c r="J48" i="1" a="1"/>
  <c r="J48" i="1" s="1"/>
  <c r="I59" i="1" a="1"/>
  <c r="I59" i="1" s="1"/>
  <c r="J58" i="1" a="1"/>
  <c r="J58" i="1" s="1"/>
  <c r="J54" i="1" a="1"/>
  <c r="J54" i="1" s="1"/>
  <c r="J53" i="1" a="1"/>
  <c r="J53" i="1" s="1"/>
  <c r="I49" i="1" a="1"/>
  <c r="I49" i="1" s="1"/>
  <c r="I58" i="1" a="1"/>
  <c r="I58" i="1" s="1"/>
  <c r="I54" i="1" a="1"/>
  <c r="I54" i="1" s="1"/>
  <c r="J49" i="1" a="1"/>
  <c r="J49" i="1" s="1"/>
  <c r="I48" i="1" a="1"/>
  <c r="I48" i="1" s="1"/>
  <c r="G33" i="1"/>
  <c r="H26" i="1"/>
  <c r="H17" i="1"/>
  <c r="H24" i="1"/>
  <c r="H22" i="1"/>
  <c r="H16" i="1"/>
  <c r="H19" i="1"/>
  <c r="H18" i="1"/>
  <c r="H8" i="1"/>
  <c r="H14" i="1"/>
  <c r="H7" i="1"/>
  <c r="H13" i="1"/>
  <c r="E59" i="1" l="1"/>
  <c r="E60" i="1" s="1"/>
  <c r="E61" i="1" s="1"/>
  <c r="E62" i="1" s="1"/>
  <c r="H21" i="1"/>
  <c r="H25" i="1"/>
  <c r="H20" i="1"/>
  <c r="H11" i="1"/>
  <c r="H12" i="1"/>
  <c r="H9" i="1"/>
  <c r="H6" i="1"/>
  <c r="H10" i="1"/>
  <c r="H5" i="1"/>
  <c r="J43" i="1"/>
  <c r="J41" i="1" s="1"/>
  <c r="D46" i="1"/>
  <c r="D44" i="1" s="1"/>
  <c r="F51" i="1"/>
  <c r="F49" i="1" s="1"/>
  <c r="F41" i="1"/>
  <c r="F39" i="1" s="1"/>
  <c r="H33" i="1"/>
  <c r="E46" i="1"/>
  <c r="E44" i="1" s="1"/>
  <c r="F46" i="1"/>
  <c r="F44" i="1" s="1"/>
  <c r="D41" i="1"/>
  <c r="D39" i="1" s="1"/>
  <c r="E41" i="1"/>
  <c r="E39" i="1" s="1"/>
  <c r="D51" i="1"/>
  <c r="D49" i="1" s="1"/>
  <c r="E51" i="1"/>
  <c r="E49" i="1" s="1"/>
  <c r="H4" i="1"/>
  <c r="H36" i="1" l="1"/>
  <c r="H43" i="1"/>
  <c r="H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<sst xmlns="http://schemas.openxmlformats.org/spreadsheetml/2006/main" count="214" uniqueCount="128">
  <si>
    <t>Statistics</t>
  </si>
  <si>
    <t>Main Squad</t>
  </si>
  <si>
    <t>Games</t>
  </si>
  <si>
    <t>Goals</t>
  </si>
  <si>
    <t>Assists</t>
  </si>
  <si>
    <t>Contributions</t>
  </si>
  <si>
    <t>MOTM</t>
  </si>
  <si>
    <t>Avg. Rating</t>
  </si>
  <si>
    <t>C. Pina</t>
  </si>
  <si>
    <t>J. Cruyff</t>
  </si>
  <si>
    <t>H. Kewell</t>
  </si>
  <si>
    <t>M. Salah</t>
  </si>
  <si>
    <t>F. Valverde</t>
  </si>
  <si>
    <t>J. Scott</t>
  </si>
  <si>
    <t>J. Alba</t>
  </si>
  <si>
    <t>M. Bombito</t>
  </si>
  <si>
    <t>G. Chiellini</t>
  </si>
  <si>
    <t>G. Zambrotta</t>
  </si>
  <si>
    <t>T. Courtois</t>
  </si>
  <si>
    <t>Bench</t>
  </si>
  <si>
    <t>P. Dybala</t>
  </si>
  <si>
    <t>G. Reiten</t>
  </si>
  <si>
    <t>S. Mané</t>
  </si>
  <si>
    <t>D. Sinani</t>
  </si>
  <si>
    <t>Y. Hasegawa</t>
  </si>
  <si>
    <t>J. Tah</t>
  </si>
  <si>
    <t>H. Sawa</t>
  </si>
  <si>
    <t>Legacy</t>
  </si>
  <si>
    <t>W. Pacho</t>
  </si>
  <si>
    <t>Current Record</t>
  </si>
  <si>
    <t>Goals Difference</t>
  </si>
  <si>
    <t>Clean Sheets</t>
  </si>
  <si>
    <t>Won</t>
  </si>
  <si>
    <t>Lost</t>
  </si>
  <si>
    <t>Scored</t>
  </si>
  <si>
    <t>Conceded</t>
  </si>
  <si>
    <t>Rage Quit</t>
  </si>
  <si>
    <t>ET</t>
  </si>
  <si>
    <t>Avg Goals</t>
  </si>
  <si>
    <t>Avg. Posession</t>
  </si>
  <si>
    <t>Max Win Streak</t>
  </si>
  <si>
    <t>Top Goals</t>
  </si>
  <si>
    <t>Top Contributions</t>
  </si>
  <si>
    <t>Top Assist</t>
  </si>
  <si>
    <t>Best Avg. Rating</t>
  </si>
  <si>
    <t>Most MOTM</t>
  </si>
  <si>
    <t>SQUAD 2</t>
  </si>
  <si>
    <t>Matches</t>
  </si>
  <si>
    <t>Wins</t>
  </si>
  <si>
    <t>Streak</t>
  </si>
  <si>
    <t>xGoals</t>
  </si>
  <si>
    <t>CleanSheet</t>
  </si>
  <si>
    <t>RIV1</t>
  </si>
  <si>
    <t>Rivals</t>
  </si>
  <si>
    <t>2 Beards FC</t>
  </si>
  <si>
    <t>Gast</t>
  </si>
  <si>
    <t>nein</t>
  </si>
  <si>
    <t>Name</t>
  </si>
  <si>
    <t>Position</t>
  </si>
  <si>
    <t>ST</t>
  </si>
  <si>
    <t>Ball-Icon nicht eindeutig erkennbar</t>
  </si>
  <si>
    <t>ZOM</t>
  </si>
  <si>
    <t>LM</t>
  </si>
  <si>
    <t>LZM</t>
  </si>
  <si>
    <t>RZM</t>
  </si>
  <si>
    <t>RM</t>
  </si>
  <si>
    <t>LV</t>
  </si>
  <si>
    <t>LIV</t>
  </si>
  <si>
    <t>RIV</t>
  </si>
  <si>
    <t>RV</t>
  </si>
  <si>
    <t>TW</t>
  </si>
  <si>
    <t>AW</t>
  </si>
  <si>
    <t>Bewertung als N.V. angezeigt</t>
  </si>
  <si>
    <t>Spiel ID</t>
  </si>
  <si>
    <t>Momentum FC</t>
  </si>
  <si>
    <t>Draw</t>
  </si>
  <si>
    <t>Total</t>
  </si>
  <si>
    <t>Average</t>
  </si>
  <si>
    <t>xG</t>
  </si>
  <si>
    <t>For</t>
  </si>
  <si>
    <t>Against</t>
  </si>
  <si>
    <t>Passing</t>
  </si>
  <si>
    <t>Total per Game</t>
  </si>
  <si>
    <t>Pass %</t>
  </si>
  <si>
    <t>On Target %</t>
  </si>
  <si>
    <t>Shooting</t>
  </si>
  <si>
    <t>SpieleIDs</t>
  </si>
  <si>
    <t>Yellow</t>
  </si>
  <si>
    <t>Red</t>
  </si>
  <si>
    <t>per Game</t>
  </si>
  <si>
    <t>Cards</t>
  </si>
  <si>
    <t>P. Guijarro</t>
  </si>
  <si>
    <t>A. Garnacho</t>
  </si>
  <si>
    <t>Gametype</t>
  </si>
  <si>
    <t>Number of Games</t>
  </si>
  <si>
    <t>all</t>
  </si>
  <si>
    <t>MatchID</t>
  </si>
  <si>
    <t>MatchCategory</t>
  </si>
  <si>
    <t>Date</t>
  </si>
  <si>
    <t>HomeT</t>
  </si>
  <si>
    <t>AwayT</t>
  </si>
  <si>
    <t>Home</t>
  </si>
  <si>
    <t>Away</t>
  </si>
  <si>
    <t>Result</t>
  </si>
  <si>
    <t>Location</t>
  </si>
  <si>
    <t>Possession</t>
  </si>
  <si>
    <t>Shots</t>
  </si>
  <si>
    <t>ShotsOpp</t>
  </si>
  <si>
    <t>ShotAccuracy</t>
  </si>
  <si>
    <t>ShotAccuracyOpp</t>
  </si>
  <si>
    <t>xGoalsOpponent</t>
  </si>
  <si>
    <t>Passes</t>
  </si>
  <si>
    <t>PassesOpp</t>
  </si>
  <si>
    <t>SuccessfulPasses</t>
  </si>
  <si>
    <t>SuccessfulPassesOpp</t>
  </si>
  <si>
    <t>SuccessfulDribbles</t>
  </si>
  <si>
    <t>YellowCards</t>
  </si>
  <si>
    <t>RedCards</t>
  </si>
  <si>
    <t>TerminationReason</t>
  </si>
  <si>
    <t>MatchDuration</t>
  </si>
  <si>
    <t>ExtraTime</t>
  </si>
  <si>
    <t>Unsicher/Fehlt</t>
  </si>
  <si>
    <t>Rating</t>
  </si>
  <si>
    <t>© by Zuphael</t>
  </si>
  <si>
    <t xml:space="preserve">Always check the Source: </t>
  </si>
  <si>
    <t>https://github.com/Zuphael/eafcAIStats/</t>
  </si>
  <si>
    <t>Version 1: 5th January 2026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</si>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</sst>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FF9900"/>
        <bgColor rgb="FFFF9900"/>
      </patternFill>
    </fill>
    <fill>
      <patternFill patternType="solid">
        <fgColor rgb="FFB4E4E8"/>
        <bgColor rgb="FFB4E4E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6B3AE"/>
        <bgColor rgb="FFF6B3AE"/>
      </patternFill>
    </fill>
    <fill>
      <patternFill patternType="solid">
        <fgColor rgb="FFA4C2F4"/>
        <bgColor rgb="FFA4C2F4"/>
      </patternFill>
    </fill>
    <fill>
      <patternFill patternType="solid">
        <fgColor rgb="FF8FD7DC"/>
        <bgColor rgb="FF8FD7DC"/>
      </patternFill>
    </fill>
    <fill>
      <patternFill patternType="solid">
        <fgColor rgb="FFD9D9D9"/>
        <bgColor rgb="FFD9D9D9"/>
      </patternFill>
    </fill>
    <fill>
      <patternFill patternType="solid">
        <fgColor rgb="FFF28E85"/>
        <bgColor rgb="FFF28E85"/>
      </patternFill>
    </fill>
    <fill>
      <patternFill patternType="solid">
        <fgColor rgb="FF7AD592"/>
        <bgColor rgb="FF7AD592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theme="5"/>
      </patternFill>
    </fill>
    <fill>
      <patternFill patternType="solid">
        <fgColor rgb="FFEA7131"/>
        <bgColor rgb="FF7AD592"/>
      </patternFill>
    </fill>
    <fill>
      <patternFill patternType="solid">
        <fgColor rgb="FFEA7131"/>
        <bgColor indexed="64"/>
      </patternFill>
    </fill>
    <fill>
      <patternFill patternType="solid">
        <fgColor rgb="FFF2F2F2"/>
      </patternFill>
    </fill>
    <fill>
      <patternFill patternType="solid">
        <fgColor rgb="FF7AD59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rgb="FF000000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indexed="64"/>
      </right>
      <top/>
      <bottom/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/>
    <xf numFmtId="0" fontId="10" fillId="17" borderId="41" applyNumberFormat="0" applyAlignment="0" applyProtection="0"/>
    <xf numFmtId="0" fontId="11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2" fontId="3" fillId="10" borderId="3" xfId="0" applyNumberFormat="1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8" fillId="0" borderId="0" xfId="0" applyFont="1"/>
    <xf numFmtId="0" fontId="3" fillId="11" borderId="5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46" fontId="0" fillId="0" borderId="0" xfId="0" applyNumberFormat="1"/>
    <xf numFmtId="0" fontId="4" fillId="0" borderId="0" xfId="0" applyFont="1"/>
    <xf numFmtId="164" fontId="4" fillId="0" borderId="0" xfId="1" applyNumberFormat="1" applyFont="1"/>
    <xf numFmtId="0" fontId="3" fillId="14" borderId="5" xfId="0" applyFont="1" applyFill="1" applyBorder="1" applyAlignment="1">
      <alignment horizontal="center" vertical="center"/>
    </xf>
    <xf numFmtId="0" fontId="0" fillId="0" borderId="15" xfId="0" applyBorder="1"/>
    <xf numFmtId="0" fontId="3" fillId="12" borderId="10" xfId="0" applyFont="1" applyFill="1" applyBorder="1" applyAlignment="1">
      <alignment horizontal="left" vertical="center" indent="1"/>
    </xf>
    <xf numFmtId="0" fontId="3" fillId="12" borderId="10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right" vertical="center" indent="1"/>
    </xf>
    <xf numFmtId="0" fontId="3" fillId="12" borderId="11" xfId="0" applyFont="1" applyFill="1" applyBorder="1" applyAlignment="1">
      <alignment horizontal="right" vertical="center" indent="1"/>
    </xf>
    <xf numFmtId="0" fontId="3" fillId="12" borderId="22" xfId="0" applyFont="1" applyFill="1" applyBorder="1" applyAlignment="1">
      <alignment horizontal="right" vertical="center" indent="1"/>
    </xf>
    <xf numFmtId="0" fontId="3" fillId="12" borderId="22" xfId="0" applyFont="1" applyFill="1" applyBorder="1" applyAlignment="1">
      <alignment horizontal="center" vertical="center"/>
    </xf>
    <xf numFmtId="0" fontId="9" fillId="0" borderId="0" xfId="0" applyFon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7" xfId="0" applyFont="1" applyBorder="1"/>
    <xf numFmtId="0" fontId="3" fillId="11" borderId="29" xfId="0" applyFont="1" applyFill="1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0" fontId="3" fillId="12" borderId="40" xfId="0" applyFont="1" applyFill="1" applyBorder="1" applyAlignment="1">
      <alignment horizontal="center" vertical="center"/>
    </xf>
    <xf numFmtId="2" fontId="3" fillId="12" borderId="35" xfId="0" applyNumberFormat="1" applyFont="1" applyFill="1" applyBorder="1" applyAlignment="1">
      <alignment horizontal="center" vertical="center"/>
    </xf>
    <xf numFmtId="2" fontId="3" fillId="12" borderId="36" xfId="0" applyNumberFormat="1" applyFont="1" applyFill="1" applyBorder="1" applyAlignment="1">
      <alignment horizontal="center" vertical="center"/>
    </xf>
    <xf numFmtId="2" fontId="3" fillId="15" borderId="34" xfId="0" applyNumberFormat="1" applyFont="1" applyFill="1" applyBorder="1" applyAlignment="1">
      <alignment horizontal="center" vertical="center"/>
    </xf>
    <xf numFmtId="2" fontId="3" fillId="15" borderId="28" xfId="0" applyNumberFormat="1" applyFont="1" applyFill="1" applyBorder="1" applyAlignment="1">
      <alignment horizontal="center" vertical="center"/>
    </xf>
    <xf numFmtId="1" fontId="3" fillId="12" borderId="35" xfId="0" applyNumberFormat="1" applyFont="1" applyFill="1" applyBorder="1" applyAlignment="1">
      <alignment horizontal="center" vertical="center"/>
    </xf>
    <xf numFmtId="1" fontId="3" fillId="15" borderId="34" xfId="0" applyNumberFormat="1" applyFont="1" applyFill="1" applyBorder="1" applyAlignment="1">
      <alignment horizontal="center" vertical="center"/>
    </xf>
    <xf numFmtId="164" fontId="3" fillId="12" borderId="36" xfId="0" applyNumberFormat="1" applyFont="1" applyFill="1" applyBorder="1" applyAlignment="1">
      <alignment horizontal="center" vertical="center"/>
    </xf>
    <xf numFmtId="164" fontId="3" fillId="15" borderId="28" xfId="0" applyNumberFormat="1" applyFont="1" applyFill="1" applyBorder="1" applyAlignment="1">
      <alignment horizontal="center" vertical="center"/>
    </xf>
    <xf numFmtId="14" fontId="9" fillId="0" borderId="0" xfId="0" applyNumberFormat="1" applyFont="1"/>
    <xf numFmtId="46" fontId="9" fillId="0" borderId="0" xfId="0" applyNumberFormat="1" applyFont="1"/>
    <xf numFmtId="0" fontId="10" fillId="17" borderId="41" xfId="2"/>
    <xf numFmtId="0" fontId="10" fillId="17" borderId="41" xfId="2" applyAlignment="1">
      <alignment horizontal="left"/>
    </xf>
    <xf numFmtId="0" fontId="0" fillId="0" borderId="44" xfId="0" applyBorder="1"/>
    <xf numFmtId="0" fontId="0" fillId="0" borderId="12" xfId="0" applyBorder="1"/>
    <xf numFmtId="1" fontId="3" fillId="12" borderId="34" xfId="0" applyNumberFormat="1" applyFont="1" applyFill="1" applyBorder="1" applyAlignment="1">
      <alignment horizontal="center" vertical="center"/>
    </xf>
    <xf numFmtId="2" fontId="3" fillId="12" borderId="28" xfId="0" applyNumberFormat="1" applyFont="1" applyFill="1" applyBorder="1" applyAlignment="1">
      <alignment horizontal="center" vertical="center"/>
    </xf>
    <xf numFmtId="0" fontId="11" fillId="0" borderId="0" xfId="3"/>
    <xf numFmtId="0" fontId="3" fillId="11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wrapText="1"/>
    </xf>
    <xf numFmtId="0" fontId="3" fillId="12" borderId="30" xfId="0" applyFont="1" applyFill="1" applyBorder="1" applyAlignment="1">
      <alignment horizontal="center" vertical="center" wrapText="1"/>
    </xf>
    <xf numFmtId="0" fontId="0" fillId="0" borderId="31" xfId="0" applyBorder="1" applyAlignment="1">
      <alignment wrapText="1"/>
    </xf>
    <xf numFmtId="1" fontId="3" fillId="12" borderId="32" xfId="0" applyNumberFormat="1" applyFont="1" applyFill="1" applyBorder="1" applyAlignment="1">
      <alignment horizontal="center" vertical="center" wrapText="1"/>
    </xf>
    <xf numFmtId="0" fontId="0" fillId="18" borderId="33" xfId="0" applyFill="1" applyBorder="1" applyAlignment="1">
      <alignment wrapText="1"/>
    </xf>
    <xf numFmtId="1" fontId="3" fillId="15" borderId="32" xfId="0" applyNumberFormat="1" applyFont="1" applyFill="1" applyBorder="1" applyAlignment="1">
      <alignment horizontal="center" vertical="center" wrapText="1"/>
    </xf>
    <xf numFmtId="0" fontId="0" fillId="16" borderId="33" xfId="0" applyFill="1" applyBorder="1" applyAlignment="1">
      <alignment wrapText="1"/>
    </xf>
    <xf numFmtId="0" fontId="3" fillId="11" borderId="42" xfId="0" applyFont="1" applyFill="1" applyBorder="1" applyAlignment="1">
      <alignment horizontal="center" vertical="center" wrapText="1"/>
    </xf>
    <xf numFmtId="0" fontId="0" fillId="0" borderId="43" xfId="0" applyBorder="1" applyAlignment="1">
      <alignment wrapText="1"/>
    </xf>
    <xf numFmtId="0" fontId="3" fillId="11" borderId="2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12" borderId="5" xfId="0" applyFont="1" applyFill="1" applyBorder="1" applyAlignment="1">
      <alignment horizontal="center" vertical="center"/>
    </xf>
    <xf numFmtId="0" fontId="0" fillId="0" borderId="8" xfId="0" applyBorder="1"/>
    <xf numFmtId="0" fontId="0" fillId="0" borderId="25" xfId="0" applyBorder="1"/>
    <xf numFmtId="0" fontId="3" fillId="10" borderId="3" xfId="0" applyFont="1" applyFill="1" applyBorder="1" applyAlignment="1">
      <alignment horizontal="left" vertical="center"/>
    </xf>
    <xf numFmtId="0" fontId="0" fillId="0" borderId="2" xfId="0" applyBorder="1"/>
    <xf numFmtId="0" fontId="7" fillId="13" borderId="5" xfId="0" applyFont="1" applyFill="1" applyBorder="1" applyAlignment="1">
      <alignment horizontal="center" vertical="center"/>
    </xf>
    <xf numFmtId="0" fontId="0" fillId="0" borderId="7" xfId="0" applyBorder="1"/>
    <xf numFmtId="1" fontId="3" fillId="12" borderId="19" xfId="0" applyNumberFormat="1" applyFont="1" applyFill="1" applyBorder="1" applyAlignment="1">
      <alignment horizontal="center" vertical="center"/>
    </xf>
    <xf numFmtId="1" fontId="0" fillId="0" borderId="16" xfId="0" applyNumberFormat="1" applyBorder="1"/>
    <xf numFmtId="0" fontId="3" fillId="10" borderId="23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/>
    </xf>
    <xf numFmtId="0" fontId="6" fillId="11" borderId="19" xfId="0" applyFont="1" applyFill="1" applyBorder="1" applyAlignment="1">
      <alignment horizontal="center" vertical="center" wrapText="1"/>
    </xf>
    <xf numFmtId="0" fontId="0" fillId="0" borderId="16" xfId="0" applyBorder="1"/>
    <xf numFmtId="164" fontId="3" fillId="12" borderId="21" xfId="1" applyNumberFormat="1" applyFont="1" applyFill="1" applyBorder="1" applyAlignment="1">
      <alignment horizontal="center" vertical="center"/>
    </xf>
    <xf numFmtId="0" fontId="0" fillId="0" borderId="18" xfId="0" applyBorder="1"/>
    <xf numFmtId="0" fontId="7" fillId="12" borderId="5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0" fillId="0" borderId="4" xfId="0" applyBorder="1"/>
    <xf numFmtId="0" fontId="3" fillId="11" borderId="13" xfId="0" applyFont="1" applyFill="1" applyBorder="1" applyAlignment="1">
      <alignment horizontal="center" vertical="center"/>
    </xf>
    <xf numFmtId="0" fontId="0" fillId="0" borderId="14" xfId="0" applyBorder="1"/>
    <xf numFmtId="1" fontId="3" fillId="1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0" fillId="0" borderId="1" xfId="0" applyBorder="1"/>
    <xf numFmtId="0" fontId="3" fillId="3" borderId="3" xfId="0" applyFont="1" applyFill="1" applyBorder="1" applyAlignment="1">
      <alignment horizontal="center" vertical="center"/>
    </xf>
    <xf numFmtId="2" fontId="7" fillId="12" borderId="5" xfId="0" applyNumberFormat="1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 wrapText="1"/>
    </xf>
    <xf numFmtId="0" fontId="0" fillId="0" borderId="17" xfId="0" applyBorder="1"/>
    <xf numFmtId="2" fontId="7" fillId="13" borderId="5" xfId="0" applyNumberFormat="1" applyFont="1" applyFill="1" applyBorder="1" applyAlignment="1">
      <alignment horizontal="center" vertical="center"/>
    </xf>
    <xf numFmtId="2" fontId="3" fillId="12" borderId="7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</cellXfs>
  <cellStyles count="4">
    <cellStyle name="Ausgabe" xfId="2" builtinId="21"/>
    <cellStyle name="Link" xfId="3" builtinId="8"/>
    <cellStyle name="Prozent" xfId="1" builtinId="5"/>
    <cellStyle name="Standard" xfId="0" builtinId="0"/>
  </cellStyles>
  <dxfs count="10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>
          <bgColor rgb="FFEA7131"/>
        </patternFill>
      </fill>
    </dxf>
    <dxf>
      <fill>
        <patternFill>
          <bgColor rgb="FFFFC000"/>
        </patternFill>
      </fill>
    </dxf>
    <dxf>
      <fill>
        <patternFill patternType="solid">
          <fgColor rgb="FFBC8D03"/>
          <bgColor rgb="FFBC8D03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colors>
    <mruColors>
      <color rgb="FF7AD592"/>
      <color rgb="FFEA713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Zuphael/eafcAISta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B1" zoomScaleNormal="100" workbookViewId="0">
      <selection activeCell="M14" sqref="M14"/>
    </sheetView>
  </sheetViews>
  <sheetFormatPr baseColWidth="10" defaultRowHeight="16" x14ac:dyDescent="0.2"/>
  <cols>
    <col min="1" max="1" width="10.83203125" hidden="1" customWidth="1"/>
    <col min="3" max="10" width="12.83203125" customWidth="1"/>
    <col min="12" max="12" width="15.33203125" bestFit="1" customWidth="1"/>
    <col min="13" max="13" width="29.5" customWidth="1"/>
  </cols>
  <sheetData>
    <row r="1" spans="1:13" ht="17" customHeight="1" thickBot="1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2" spans="1:13" ht="17" customHeight="1" thickBot="1" x14ac:dyDescent="0.25">
      <c r="A2" s="1" t="str" cm="1">
        <f t="array" ref="A2">_xlfn.LET(
  _xlpm.Kat,Dashboard!$M$5,
  _xlpm.Xraw,Dashboard!$M$6,
  _xlpm.IstallKat,AND(ISTEXT(_xlpm.Kat),LOWER(_xlpm.Kat)="all"),
  _xlpm.IstallX,AND(ISTEXT(_xlpm.Xraw),LOWER(_xlpm.Xraw)="all"),
  _xlpm.IDs0,DataGames!$A$2:$A$99987,
  _xlpm.Kats0,DataGames!$B$2:$B$99987,
  _xlpm.IDs,_xlfn._xlws.FILTER(_xlpm.IDs0,_xlpm.IDs0&lt;&gt;""),
  _xlpm.Kats,_xlfn._xlws.FILTER(_xlpm.Kats0,_xlpm.IDs0&lt;&gt;""),
  _xlpm.IDsGef,_xlfn._xlws.FILTER(_xlpm.IDs,IF(_xlpm.IstallKat,TRUE,_xlpm.Kats=_xlpm.Kat)),
  _xlpm.n,ROWS(_xlpm.IDsGef),
  _xlpm.X,IF(_xlpm.IstallX,_xlpm.n,IFERROR(--_xlpm.Xraw,VALUE(_xlpm.Xraw))),
  _xlpm.k,MIN(_xlpm.X,_xlpm.n),
  INDEX(_xlpm.IDsGef,_xlfn.SEQUENCE(_xlpm.k,1,_xlpm.n-_xlpm.k+1,1))
)</f>
        <v>RIV1</v>
      </c>
      <c r="B2" s="1"/>
      <c r="C2" s="93" t="s">
        <v>0</v>
      </c>
      <c r="D2" s="94"/>
      <c r="E2" s="94"/>
      <c r="F2" s="94"/>
      <c r="G2" s="94"/>
      <c r="H2" s="94"/>
      <c r="I2" s="94"/>
      <c r="J2" s="73"/>
    </row>
    <row r="3" spans="1:13" ht="17" customHeight="1" thickBot="1" x14ac:dyDescent="0.25">
      <c r="A3" s="1"/>
      <c r="B3" s="1"/>
      <c r="C3" s="95" t="s">
        <v>1</v>
      </c>
      <c r="D3" s="73"/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  <c r="J3" s="7" t="s">
        <v>7</v>
      </c>
    </row>
    <row r="4" spans="1:13" ht="17" customHeight="1" thickBot="1" x14ac:dyDescent="0.25">
      <c r="A4" s="1"/>
      <c r="B4" s="1"/>
      <c r="C4" s="72" t="s">
        <v>9</v>
      </c>
      <c r="D4" s="73"/>
      <c r="E4" s="8" cm="1">
        <f t="array" ref="E4">SUMPRODUCT(
  --(DataPlayer!$C$2:$C$99941=$C4),
  --(DataPlayer!$E$2:$E$99941&gt;0),
  --ISNUMBER(MATCH(DataPlayer!$A$2:$A$99941,_xlfn.ANCHORARRAY($A$2),0))
)</f>
        <v>1</v>
      </c>
      <c r="F4" s="9" cm="1">
        <f t="array" ref="F4">SUMPRODUCT(
  DataPlayer!$F$2:$F$99941,
  --(DataPlayer!$C$2:$C$99941=C4),
  --ISNUMBER(MATCH(DataPlayer!$A$2:$A$99941,_xlfn.ANCHORARRAY($A$2),0))
)</f>
        <v>2</v>
      </c>
      <c r="G4" s="9" cm="1">
        <f t="array" ref="G4">SUMPRODUCT(
  DataPlayer!$G$2:$G$99941,
  --(DataPlayer!$C$2:$C$99941=C4),
  --ISNUMBER(MATCH(DataPlayer!$A$2:$A$99941,_xlfn.ANCHORARRAY($A$2),0))
)</f>
        <v>0</v>
      </c>
      <c r="H4" s="9">
        <f t="shared" ref="H4" si="0">F4+G4</f>
        <v>2</v>
      </c>
      <c r="I4" s="9" cm="1">
        <f t="array" ref="I4">SUMPRODUCT(
  --(DataPlayer!$C$2:$C$99941=C4),
  --(DataPlayer!$H$2:$H$99941="x"),
  --ISNUMBER(MATCH(DataPlayer!$A$2:$A$99941,_xlfn.ANCHORARRAY($A$2),0))
)</f>
        <v>0</v>
      </c>
      <c r="J4" s="10" cm="1">
        <f t="array" ref="J4">IFERROR(
  AVERAGE(
    _xlfn._xlws.FILTER(
      DataPlayer!$E$2:$E$99941,
      (DataPlayer!$C$2:$C$99941=C4) *
      ISNUMBER(MATCH(DataPlayer!$A$2:$A$99941,_xlfn.ANCHORARRAY($A$2),0))
    )
  ),
  ""
)</f>
        <v>8.5</v>
      </c>
    </row>
    <row r="5" spans="1:13" ht="17" customHeight="1" thickBot="1" x14ac:dyDescent="0.25">
      <c r="A5" s="1"/>
      <c r="B5" s="1"/>
      <c r="C5" s="72" t="s">
        <v>22</v>
      </c>
      <c r="D5" s="73"/>
      <c r="E5" s="8" cm="1">
        <f t="array" ref="E5">SUMPRODUCT(
  --(DataPlayer!$C$2:$C$99941=$C5),
  --(DataPlayer!$E$2:$E$99941&gt;0),
  --ISNUMBER(MATCH(DataPlayer!$A$2:$A$99941,_xlfn.ANCHORARRAY($A$2),0))
)</f>
        <v>1</v>
      </c>
      <c r="F5" s="9" cm="1">
        <f t="array" ref="F5">SUMPRODUCT(
  DataPlayer!$F$2:$F$99941,
  --(DataPlayer!$C$2:$C$99941=C5),
  --ISNUMBER(MATCH(DataPlayer!$A$2:$A$99941,_xlfn.ANCHORARRAY($A$2),0))
)</f>
        <v>0</v>
      </c>
      <c r="G5" s="9" cm="1">
        <f t="array" ref="G5">SUMPRODUCT(
  DataPlayer!$G$2:$G$99941,
  --(DataPlayer!$C$2:$C$99941=C5),
  --ISNUMBER(MATCH(DataPlayer!$A$2:$A$99941,_xlfn.ANCHORARRAY($A$2),0))
)</f>
        <v>0</v>
      </c>
      <c r="H5" s="9">
        <f t="shared" ref="H5:H14" si="1">F5+G5</f>
        <v>0</v>
      </c>
      <c r="I5" s="9" cm="1">
        <f t="array" ref="I5">SUMPRODUCT(
  --(DataPlayer!$C$2:$C$99941=C5),
  --(DataPlayer!$H$2:$H$99941="x"),
  --ISNUMBER(MATCH(DataPlayer!$A$2:$A$99941,_xlfn.ANCHORARRAY($A$2),0))
)</f>
        <v>0</v>
      </c>
      <c r="J5" s="10" cm="1">
        <f t="array" ref="J5">IFERROR(
  AVERAGE(
    _xlfn._xlws.FILTER(
      DataPlayer!$E$2:$E$99941,
      (DataPlayer!$C$2:$C$99941=C5) *
      ISNUMBER(MATCH(DataPlayer!$A$2:$A$99941,_xlfn.ANCHORARRAY($A$2),0))
    )
  ),
  ""
)</f>
        <v>6.2</v>
      </c>
      <c r="L5" t="s">
        <v>93</v>
      </c>
      <c r="M5" s="50" t="s">
        <v>95</v>
      </c>
    </row>
    <row r="6" spans="1:13" ht="17" customHeight="1" thickBot="1" x14ac:dyDescent="0.25">
      <c r="A6" s="1"/>
      <c r="B6" s="1"/>
      <c r="C6" s="72" t="s">
        <v>20</v>
      </c>
      <c r="D6" s="73"/>
      <c r="E6" s="8" cm="1">
        <f t="array" ref="E6">SUMPRODUCT(
  --(DataPlayer!$C$2:$C$99941=$C6),
  --(DataPlayer!$E$2:$E$99941&gt;0),
  --ISNUMBER(MATCH(DataPlayer!$A$2:$A$99941,_xlfn.ANCHORARRAY($A$2),0))
)</f>
        <v>1</v>
      </c>
      <c r="F6" s="9" cm="1">
        <f t="array" ref="F6">SUMPRODUCT(
  DataPlayer!$F$2:$F$99941,
  --(DataPlayer!$C$2:$C$99941=C6),
  --ISNUMBER(MATCH(DataPlayer!$A$2:$A$99941,_xlfn.ANCHORARRAY($A$2),0))
)</f>
        <v>0</v>
      </c>
      <c r="G6" s="9" cm="1">
        <f t="array" ref="G6">SUMPRODUCT(
  DataPlayer!$G$2:$G$99941,
  --(DataPlayer!$C$2:$C$99941=C6),
  --ISNUMBER(MATCH(DataPlayer!$A$2:$A$99941,_xlfn.ANCHORARRAY($A$2),0))
)</f>
        <v>0</v>
      </c>
      <c r="H6" s="9">
        <f t="shared" si="1"/>
        <v>0</v>
      </c>
      <c r="I6" s="9" cm="1">
        <f t="array" ref="I6">SUMPRODUCT(
  --(DataPlayer!$C$2:$C$99941=C6),
  --(DataPlayer!$H$2:$H$99941="x"),
  --ISNUMBER(MATCH(DataPlayer!$A$2:$A$99941,_xlfn.ANCHORARRAY($A$2),0))
)</f>
        <v>0</v>
      </c>
      <c r="J6" s="10" cm="1">
        <f t="array" ref="J6">IFERROR(
  AVERAGE(
    _xlfn._xlws.FILTER(
      DataPlayer!$E$2:$E$99941,
      (DataPlayer!$C$2:$C$99941=C6) *
      ISNUMBER(MATCH(DataPlayer!$A$2:$A$99941,_xlfn.ANCHORARRAY($A$2),0))
    )
  ),
  ""
)</f>
        <v>6.5</v>
      </c>
      <c r="L6" t="s">
        <v>94</v>
      </c>
      <c r="M6" s="51" t="s">
        <v>95</v>
      </c>
    </row>
    <row r="7" spans="1:13" ht="17" customHeight="1" thickBot="1" x14ac:dyDescent="0.25">
      <c r="A7" s="1"/>
      <c r="B7" s="1"/>
      <c r="C7" s="72" t="s">
        <v>11</v>
      </c>
      <c r="D7" s="73"/>
      <c r="E7" s="8" cm="1">
        <f t="array" ref="E7">SUMPRODUCT(
  --(DataPlayer!$C$2:$C$99941=$C7),
  --(DataPlayer!$E$2:$E$99941&gt;0),
  --ISNUMBER(MATCH(DataPlayer!$A$2:$A$99941,_xlfn.ANCHORARRAY($A$2),0))
)</f>
        <v>1</v>
      </c>
      <c r="F7" s="9" cm="1">
        <f t="array" ref="F7">SUMPRODUCT(
  DataPlayer!$F$2:$F$99941,
  --(DataPlayer!$C$2:$C$99941=C7),
  --ISNUMBER(MATCH(DataPlayer!$A$2:$A$99941,_xlfn.ANCHORARRAY($A$2),0))
)</f>
        <v>2</v>
      </c>
      <c r="G7" s="9" cm="1">
        <f t="array" ref="G7">SUMPRODUCT(
  DataPlayer!$G$2:$G$99941,
  --(DataPlayer!$C$2:$C$99941=C7),
  --ISNUMBER(MATCH(DataPlayer!$A$2:$A$99941,_xlfn.ANCHORARRAY($A$2),0))
)</f>
        <v>1</v>
      </c>
      <c r="H7" s="9">
        <f t="shared" si="1"/>
        <v>3</v>
      </c>
      <c r="I7" s="9" cm="1">
        <f t="array" ref="I7">SUMPRODUCT(
  --(DataPlayer!$C$2:$C$99941=C7),
  --(DataPlayer!$H$2:$H$99941="x"),
  --ISNUMBER(MATCH(DataPlayer!$A$2:$A$99941,_xlfn.ANCHORARRAY($A$2),0))
)</f>
        <v>0</v>
      </c>
      <c r="J7" s="10" cm="1">
        <f t="array" ref="J7">IFERROR(
  AVERAGE(
    _xlfn._xlws.FILTER(
      DataPlayer!$E$2:$E$99941,
      (DataPlayer!$C$2:$C$99941=C7) *
      ISNUMBER(MATCH(DataPlayer!$A$2:$A$99941,_xlfn.ANCHORARRAY($A$2),0))
    )
  ),
  ""
)</f>
        <v>8.3000000000000007</v>
      </c>
    </row>
    <row r="8" spans="1:13" ht="17" customHeight="1" thickBot="1" x14ac:dyDescent="0.25">
      <c r="A8" s="1"/>
      <c r="B8" s="1"/>
      <c r="C8" s="72" t="s">
        <v>23</v>
      </c>
      <c r="D8" s="73"/>
      <c r="E8" s="8" cm="1">
        <f t="array" ref="E8">SUMPRODUCT(
  --(DataPlayer!$C$2:$C$99941=$C8),
  --(DataPlayer!$E$2:$E$99941&gt;0),
  --ISNUMBER(MATCH(DataPlayer!$A$2:$A$99941,_xlfn.ANCHORARRAY($A$2),0))
)</f>
        <v>1</v>
      </c>
      <c r="F8" s="9" cm="1">
        <f t="array" ref="F8">SUMPRODUCT(
  DataPlayer!$F$2:$F$99941,
  --(DataPlayer!$C$2:$C$99941=C8),
  --ISNUMBER(MATCH(DataPlayer!$A$2:$A$99941,_xlfn.ANCHORARRAY($A$2),0))
)</f>
        <v>0</v>
      </c>
      <c r="G8" s="9" cm="1">
        <f t="array" ref="G8">SUMPRODUCT(
  DataPlayer!$G$2:$G$99941,
  --(DataPlayer!$C$2:$C$99941=C8),
  --ISNUMBER(MATCH(DataPlayer!$A$2:$A$99941,_xlfn.ANCHORARRAY($A$2),0))
)</f>
        <v>0</v>
      </c>
      <c r="H8" s="9">
        <f t="shared" si="1"/>
        <v>0</v>
      </c>
      <c r="I8" s="9" cm="1">
        <f t="array" ref="I8">SUMPRODUCT(
  --(DataPlayer!$C$2:$C$99941=C8),
  --(DataPlayer!$H$2:$H$99941="x"),
  --ISNUMBER(MATCH(DataPlayer!$A$2:$A$99941,_xlfn.ANCHORARRAY($A$2),0))
)</f>
        <v>0</v>
      </c>
      <c r="J8" s="10" cm="1">
        <f t="array" ref="J8">IFERROR(
  AVERAGE(
    _xlfn._xlws.FILTER(
      DataPlayer!$E$2:$E$99941,
      (DataPlayer!$C$2:$C$99941=C8) *
      ISNUMBER(MATCH(DataPlayer!$A$2:$A$99941,_xlfn.ANCHORARRAY($A$2),0))
    )
  ),
  ""
)</f>
        <v>6.8</v>
      </c>
    </row>
    <row r="9" spans="1:13" ht="17" customHeight="1" thickBot="1" x14ac:dyDescent="0.25">
      <c r="A9" s="1"/>
      <c r="B9" s="1"/>
      <c r="C9" s="78" t="s">
        <v>12</v>
      </c>
      <c r="D9" s="79"/>
      <c r="E9" s="8" cm="1">
        <f t="array" ref="E9">SUMPRODUCT(
  --(DataPlayer!$C$2:$C$99941=$C9),
  --(DataPlayer!$E$2:$E$99941&gt;0),
  --ISNUMBER(MATCH(DataPlayer!$A$2:$A$99941,_xlfn.ANCHORARRAY($A$2),0))
)</f>
        <v>1</v>
      </c>
      <c r="F9" s="9" cm="1">
        <f t="array" ref="F9">SUMPRODUCT(
  DataPlayer!$F$2:$F$99941,
  --(DataPlayer!$C$2:$C$99941=C9),
  --ISNUMBER(MATCH(DataPlayer!$A$2:$A$99941,_xlfn.ANCHORARRAY($A$2),0))
)</f>
        <v>0</v>
      </c>
      <c r="G9" s="9" cm="1">
        <f t="array" ref="G9">SUMPRODUCT(
  DataPlayer!$G$2:$G$99941,
  --(DataPlayer!$C$2:$C$99941=C9),
  --ISNUMBER(MATCH(DataPlayer!$A$2:$A$99941,_xlfn.ANCHORARRAY($A$2),0))
)</f>
        <v>0</v>
      </c>
      <c r="H9" s="9">
        <f t="shared" si="1"/>
        <v>0</v>
      </c>
      <c r="I9" s="9" cm="1">
        <f t="array" ref="I9">SUMPRODUCT(
  --(DataPlayer!$C$2:$C$99941=C9),
  --(DataPlayer!$H$2:$H$99941="x"),
  --ISNUMBER(MATCH(DataPlayer!$A$2:$A$99941,_xlfn.ANCHORARRAY($A$2),0))
)</f>
        <v>0</v>
      </c>
      <c r="J9" s="10" cm="1">
        <f t="array" ref="J9">IFERROR(
  AVERAGE(
    _xlfn._xlws.FILTER(
      DataPlayer!$E$2:$E$99941,
      (DataPlayer!$C$2:$C$99941=C9) *
      ISNUMBER(MATCH(DataPlayer!$A$2:$A$99941,_xlfn.ANCHORARRAY($A$2),0))
    )
  ),
  ""
)</f>
        <v>6.7</v>
      </c>
    </row>
    <row r="10" spans="1:13" ht="17" customHeight="1" thickBot="1" x14ac:dyDescent="0.25">
      <c r="A10" s="1"/>
      <c r="B10" s="1"/>
      <c r="C10" s="72" t="s">
        <v>14</v>
      </c>
      <c r="D10" s="73"/>
      <c r="E10" s="8" cm="1">
        <f t="array" ref="E10">SUMPRODUCT(
  --(DataPlayer!$C$2:$C$99941=$C10),
  --(DataPlayer!$E$2:$E$99941&gt;0),
  --ISNUMBER(MATCH(DataPlayer!$A$2:$A$99941,_xlfn.ANCHORARRAY($A$2),0))
)</f>
        <v>1</v>
      </c>
      <c r="F10" s="9" cm="1">
        <f t="array" ref="F10">SUMPRODUCT(
  DataPlayer!$F$2:$F$99941,
  --(DataPlayer!$C$2:$C$99941=C10),
  --ISNUMBER(MATCH(DataPlayer!$A$2:$A$99941,_xlfn.ANCHORARRAY($A$2),0))
)</f>
        <v>0</v>
      </c>
      <c r="G10" s="9" cm="1">
        <f t="array" ref="G10">SUMPRODUCT(
  DataPlayer!$G$2:$G$99941,
  --(DataPlayer!$C$2:$C$99941=C10),
  --ISNUMBER(MATCH(DataPlayer!$A$2:$A$99941,_xlfn.ANCHORARRAY($A$2),0))
)</f>
        <v>0</v>
      </c>
      <c r="H10" s="9">
        <f t="shared" si="1"/>
        <v>0</v>
      </c>
      <c r="I10" s="9" cm="1">
        <f t="array" ref="I10">SUMPRODUCT(
  --(DataPlayer!$C$2:$C$99941=C10),
  --(DataPlayer!$H$2:$H$99941="x"),
  --ISNUMBER(MATCH(DataPlayer!$A$2:$A$99941,_xlfn.ANCHORARRAY($A$2),0))
)</f>
        <v>0</v>
      </c>
      <c r="J10" s="10" cm="1">
        <f t="array" ref="J10">IFERROR(
  AVERAGE(
    _xlfn._xlws.FILTER(
      DataPlayer!$E$2:$E$99941,
      (DataPlayer!$C$2:$C$99941=C10) *
      ISNUMBER(MATCH(DataPlayer!$A$2:$A$99941,_xlfn.ANCHORARRAY($A$2),0))
    )
  ),
  ""
)</f>
        <v>6.8</v>
      </c>
    </row>
    <row r="11" spans="1:13" ht="17" customHeight="1" thickBot="1" x14ac:dyDescent="0.25">
      <c r="A11" s="1"/>
      <c r="B11" s="1"/>
      <c r="C11" s="72" t="s">
        <v>28</v>
      </c>
      <c r="D11" s="73"/>
      <c r="E11" s="8" cm="1">
        <f t="array" ref="E11">SUMPRODUCT(
  --(DataPlayer!$C$2:$C$99941=$C11),
  --(DataPlayer!$E$2:$E$99941&gt;0),
  --ISNUMBER(MATCH(DataPlayer!$A$2:$A$99941,_xlfn.ANCHORARRAY($A$2),0))
)</f>
        <v>1</v>
      </c>
      <c r="F11" s="9" cm="1">
        <f t="array" ref="F11">SUMPRODUCT(
  DataPlayer!$F$2:$F$99941,
  --(DataPlayer!$C$2:$C$99941=C11),
  --ISNUMBER(MATCH(DataPlayer!$A$2:$A$99941,_xlfn.ANCHORARRAY($A$2),0))
)</f>
        <v>0</v>
      </c>
      <c r="G11" s="9" cm="1">
        <f t="array" ref="G11">SUMPRODUCT(
  DataPlayer!$G$2:$G$99941,
  --(DataPlayer!$C$2:$C$99941=C11),
  --ISNUMBER(MATCH(DataPlayer!$A$2:$A$99941,_xlfn.ANCHORARRAY($A$2),0))
)</f>
        <v>0</v>
      </c>
      <c r="H11" s="9">
        <f t="shared" si="1"/>
        <v>0</v>
      </c>
      <c r="I11" s="9" cm="1">
        <f t="array" ref="I11">SUMPRODUCT(
  --(DataPlayer!$C$2:$C$99941=C11),
  --(DataPlayer!$H$2:$H$99941="x"),
  --ISNUMBER(MATCH(DataPlayer!$A$2:$A$99941,_xlfn.ANCHORARRAY($A$2),0))
)</f>
        <v>0</v>
      </c>
      <c r="J11" s="10" cm="1">
        <f t="array" ref="J11">IFERROR(
  AVERAGE(
    _xlfn._xlws.FILTER(
      DataPlayer!$E$2:$E$99941,
      (DataPlayer!$C$2:$C$99941=C11) *
      ISNUMBER(MATCH(DataPlayer!$A$2:$A$99941,_xlfn.ANCHORARRAY($A$2),0))
    )
  ),
  ""
)</f>
        <v>6.8</v>
      </c>
    </row>
    <row r="12" spans="1:13" ht="17" customHeight="1" thickBot="1" x14ac:dyDescent="0.25">
      <c r="A12" s="1"/>
      <c r="B12" s="1"/>
      <c r="C12" s="72" t="s">
        <v>16</v>
      </c>
      <c r="D12" s="73"/>
      <c r="E12" s="8" cm="1">
        <f t="array" ref="E12">SUMPRODUCT(
  --(DataPlayer!$C$2:$C$99941=$C12),
  --(DataPlayer!$E$2:$E$99941&gt;0),
  --ISNUMBER(MATCH(DataPlayer!$A$2:$A$99941,_xlfn.ANCHORARRAY($A$2),0))
)</f>
        <v>1</v>
      </c>
      <c r="F12" s="9" cm="1">
        <f t="array" ref="F12">SUMPRODUCT(
  DataPlayer!$F$2:$F$99941,
  --(DataPlayer!$C$2:$C$99941=C12),
  --ISNUMBER(MATCH(DataPlayer!$A$2:$A$99941,_xlfn.ANCHORARRAY($A$2),0))
)</f>
        <v>0</v>
      </c>
      <c r="G12" s="9" cm="1">
        <f t="array" ref="G12">SUMPRODUCT(
  DataPlayer!$G$2:$G$99941,
  --(DataPlayer!$C$2:$C$99941=C12),
  --ISNUMBER(MATCH(DataPlayer!$A$2:$A$99941,_xlfn.ANCHORARRAY($A$2),0))
)</f>
        <v>0</v>
      </c>
      <c r="H12" s="9">
        <f t="shared" si="1"/>
        <v>0</v>
      </c>
      <c r="I12" s="9" cm="1">
        <f t="array" ref="I12">SUMPRODUCT(
  --(DataPlayer!$C$2:$C$99941=C12),
  --(DataPlayer!$H$2:$H$99941="x"),
  --ISNUMBER(MATCH(DataPlayer!$A$2:$A$99941,_xlfn.ANCHORARRAY($A$2),0))
)</f>
        <v>0</v>
      </c>
      <c r="J12" s="10" cm="1">
        <f t="array" ref="J12">IFERROR(
  AVERAGE(
    _xlfn._xlws.FILTER(
      DataPlayer!$E$2:$E$99941,
      (DataPlayer!$C$2:$C$99941=C12) *
      ISNUMBER(MATCH(DataPlayer!$A$2:$A$99941,_xlfn.ANCHORARRAY($A$2),0))
    )
  ),
  ""
)</f>
        <v>7.7</v>
      </c>
    </row>
    <row r="13" spans="1:13" ht="17" customHeight="1" thickBot="1" x14ac:dyDescent="0.25">
      <c r="A13" s="1"/>
      <c r="B13" s="1"/>
      <c r="C13" s="72" t="s">
        <v>17</v>
      </c>
      <c r="D13" s="73"/>
      <c r="E13" s="8" cm="1">
        <f t="array" ref="E13">SUMPRODUCT(
  --(DataPlayer!$C$2:$C$99941=$C13),
  --(DataPlayer!$E$2:$E$99941&gt;0),
  --ISNUMBER(MATCH(DataPlayer!$A$2:$A$99941,_xlfn.ANCHORARRAY($A$2),0))
)</f>
        <v>1</v>
      </c>
      <c r="F13" s="9" cm="1">
        <f t="array" ref="F13">SUMPRODUCT(
  DataPlayer!$F$2:$F$99941,
  --(DataPlayer!$C$2:$C$99941=C13),
  --ISNUMBER(MATCH(DataPlayer!$A$2:$A$99941,_xlfn.ANCHORARRAY($A$2),0))
)</f>
        <v>0</v>
      </c>
      <c r="G13" s="9" cm="1">
        <f t="array" ref="G13">SUMPRODUCT(
  DataPlayer!$G$2:$G$99941,
  --(DataPlayer!$C$2:$C$99941=C13),
  --ISNUMBER(MATCH(DataPlayer!$A$2:$A$99941,_xlfn.ANCHORARRAY($A$2),0))
)</f>
        <v>0</v>
      </c>
      <c r="H13" s="9">
        <f t="shared" si="1"/>
        <v>0</v>
      </c>
      <c r="I13" s="9" cm="1">
        <f t="array" ref="I13">SUMPRODUCT(
  --(DataPlayer!$C$2:$C$99941=C13),
  --(DataPlayer!$H$2:$H$99941="x"),
  --ISNUMBER(MATCH(DataPlayer!$A$2:$A$99941,_xlfn.ANCHORARRAY($A$2),0))
)</f>
        <v>0</v>
      </c>
      <c r="J13" s="10" cm="1">
        <f t="array" ref="J13">IFERROR(
  AVERAGE(
    _xlfn._xlws.FILTER(
      DataPlayer!$E$2:$E$99941,
      (DataPlayer!$C$2:$C$99941=C13) *
      ISNUMBER(MATCH(DataPlayer!$A$2:$A$99941,_xlfn.ANCHORARRAY($A$2),0))
    )
  ),
  ""
)</f>
        <v>6.5</v>
      </c>
      <c r="M13" t="s">
        <v>127</v>
      </c>
    </row>
    <row r="14" spans="1:13" ht="17" customHeight="1" thickBot="1" x14ac:dyDescent="0.25">
      <c r="A14" s="1"/>
      <c r="B14" s="1"/>
      <c r="C14" s="72" t="s">
        <v>18</v>
      </c>
      <c r="D14" s="73"/>
      <c r="E14" s="8" cm="1">
        <f t="array" ref="E14">SUMPRODUCT(
  --(DataPlayer!$C$2:$C$99941=$C14),
  --(DataPlayer!$E$2:$E$99941&gt;0),
  --ISNUMBER(MATCH(DataPlayer!$A$2:$A$99941,_xlfn.ANCHORARRAY($A$2),0))
)</f>
        <v>1</v>
      </c>
      <c r="F14" s="9" cm="1">
        <f t="array" ref="F14">SUMPRODUCT(
  DataPlayer!$F$2:$F$99941,
  --(DataPlayer!$C$2:$C$99941=C14),
  --ISNUMBER(MATCH(DataPlayer!$A$2:$A$99941,_xlfn.ANCHORARRAY($A$2),0))
)</f>
        <v>0</v>
      </c>
      <c r="G14" s="9" cm="1">
        <f t="array" ref="G14">SUMPRODUCT(
  DataPlayer!$G$2:$G$99941,
  --(DataPlayer!$C$2:$C$99941=C14),
  --ISNUMBER(MATCH(DataPlayer!$A$2:$A$99941,_xlfn.ANCHORARRAY($A$2),0))
)</f>
        <v>0</v>
      </c>
      <c r="H14" s="9">
        <f t="shared" si="1"/>
        <v>0</v>
      </c>
      <c r="I14" s="9" cm="1">
        <f t="array" ref="I14">SUMPRODUCT(
  --(DataPlayer!$C$2:$C$99941=C14),
  --(DataPlayer!$H$2:$H$99941="x"),
  --ISNUMBER(MATCH(DataPlayer!$A$2:$A$99941,_xlfn.ANCHORARRAY($A$2),0))
)</f>
        <v>0</v>
      </c>
      <c r="J14" s="10" cm="1">
        <f t="array" ref="J14">IFERROR(
  AVERAGE(
    _xlfn._xlws.FILTER(
      DataPlayer!$E$2:$E$99941,
      (DataPlayer!$C$2:$C$99941=C14) *
      ISNUMBER(MATCH(DataPlayer!$A$2:$A$99941,_xlfn.ANCHORARRAY($A$2),0))
    )
  ),
  ""
)</f>
        <v>4</v>
      </c>
    </row>
    <row r="15" spans="1:13" ht="17" customHeight="1" thickBot="1" x14ac:dyDescent="0.25">
      <c r="A15" s="1"/>
      <c r="B15" s="1"/>
      <c r="C15" s="95" t="s">
        <v>19</v>
      </c>
      <c r="D15" s="73"/>
      <c r="E15" s="2" t="s">
        <v>2</v>
      </c>
      <c r="F15" s="3" t="s">
        <v>3</v>
      </c>
      <c r="G15" s="4" t="s">
        <v>4</v>
      </c>
      <c r="H15" s="5" t="s">
        <v>5</v>
      </c>
      <c r="I15" s="6" t="s">
        <v>6</v>
      </c>
      <c r="J15" s="7" t="s">
        <v>7</v>
      </c>
    </row>
    <row r="16" spans="1:13" ht="17" customHeight="1" thickBot="1" x14ac:dyDescent="0.25">
      <c r="A16" s="1"/>
      <c r="B16" s="1"/>
      <c r="C16" s="72" t="s">
        <v>8</v>
      </c>
      <c r="D16" s="73"/>
      <c r="E16" s="8" cm="1">
        <f t="array" ref="E16">SUMPRODUCT(
  --(DataPlayer!$C$2:$C$99941=$C16),
  --(DataPlayer!$E$2:$E$99941&gt;0),
  --ISNUMBER(MATCH(DataPlayer!$A$2:$A$99941,_xlfn.ANCHORARRAY($A$2),0))
)</f>
        <v>1</v>
      </c>
      <c r="F16" s="9" cm="1">
        <f t="array" ref="F16">SUMPRODUCT(
  DataPlayer!$F$2:$F$99941,
  --(DataPlayer!$C$2:$C$99941=C16),
  --ISNUMBER(MATCH(DataPlayer!$A$2:$A$99941,_xlfn.ANCHORARRAY($A$2),0))
)</f>
        <v>1</v>
      </c>
      <c r="G16" s="9" cm="1">
        <f t="array" ref="G16">SUMPRODUCT(
  DataPlayer!$G$2:$G$99941,
  --(DataPlayer!$C$2:$C$99941=C16),
  --ISNUMBER(MATCH(DataPlayer!$A$2:$A$99941,_xlfn.ANCHORARRAY($A$2),0))
)</f>
        <v>3</v>
      </c>
      <c r="H16" s="9">
        <f t="shared" ref="H16:H26" si="2">F16+G16</f>
        <v>4</v>
      </c>
      <c r="I16" s="9" cm="1">
        <f t="array" ref="I16">SUMPRODUCT(
  --(DataPlayer!$C$2:$C$99941=C16),
  --(DataPlayer!$H$2:$H$99941="x"),
  --ISNUMBER(MATCH(DataPlayer!$A$2:$A$99941,_xlfn.ANCHORARRAY($A$2),0))
)</f>
        <v>0</v>
      </c>
      <c r="J16" s="10" cm="1">
        <f t="array" ref="J16">IFERROR(
  AVERAGE(
    _xlfn._xlws.FILTER(
      DataPlayer!$E$2:$E$99941,
      (DataPlayer!$C$2:$C$99941=C16) *
      ISNUMBER(MATCH(DataPlayer!$A$2:$A$99941,_xlfn.ANCHORARRAY($A$2),0))
    )
  ),
  ""
)</f>
        <v>9.4</v>
      </c>
    </row>
    <row r="17" spans="1:10" ht="17" customHeight="1" thickBot="1" x14ac:dyDescent="0.25">
      <c r="A17" s="1"/>
      <c r="B17" s="1"/>
      <c r="C17" s="72" t="s">
        <v>20</v>
      </c>
      <c r="D17" s="73"/>
      <c r="E17" s="8" cm="1">
        <f t="array" ref="E17">SUMPRODUCT(
  --(DataPlayer!$C$2:$C$99941=$C17),
  --(DataPlayer!$E$2:$E$99941&gt;0),
  --ISNUMBER(MATCH(DataPlayer!$A$2:$A$99941,_xlfn.ANCHORARRAY($A$2),0))
)</f>
        <v>1</v>
      </c>
      <c r="F17" s="9" cm="1">
        <f t="array" ref="F17">SUMPRODUCT(
  DataPlayer!$F$2:$F$99941,
  --(DataPlayer!$C$2:$C$99941=C17),
  --ISNUMBER(MATCH(DataPlayer!$A$2:$A$99941,_xlfn.ANCHORARRAY($A$2),0))
)</f>
        <v>0</v>
      </c>
      <c r="G17" s="9" cm="1">
        <f t="array" ref="G17">SUMPRODUCT(
  DataPlayer!$G$2:$G$99941,
  --(DataPlayer!$C$2:$C$99941=C17),
  --ISNUMBER(MATCH(DataPlayer!$A$2:$A$99941,_xlfn.ANCHORARRAY($A$2),0))
)</f>
        <v>0</v>
      </c>
      <c r="H17" s="9">
        <f t="shared" si="2"/>
        <v>0</v>
      </c>
      <c r="I17" s="9" cm="1">
        <f t="array" ref="I17">SUMPRODUCT(
  --(DataPlayer!$C$2:$C$99941=C17),
  --(DataPlayer!$H$2:$H$99941="x"),
  --ISNUMBER(MATCH(DataPlayer!$A$2:$A$99941,_xlfn.ANCHORARRAY($A$2),0))
)</f>
        <v>0</v>
      </c>
      <c r="J17" s="10" cm="1">
        <f t="array" ref="J17">IFERROR(
  AVERAGE(
    _xlfn._xlws.FILTER(
      DataPlayer!$E$2:$E$99941,
      (DataPlayer!$C$2:$C$99941=C17) *
      ISNUMBER(MATCH(DataPlayer!$A$2:$A$99941,_xlfn.ANCHORARRAY($A$2),0))
    )
  ),
  ""
)</f>
        <v>6.5</v>
      </c>
    </row>
    <row r="18" spans="1:10" ht="17" customHeight="1" thickBot="1" x14ac:dyDescent="0.25">
      <c r="A18" s="1"/>
      <c r="B18" s="1"/>
      <c r="C18" s="72" t="s">
        <v>21</v>
      </c>
      <c r="D18" s="73"/>
      <c r="E18" s="8" cm="1">
        <f t="array" ref="E18">SUMPRODUCT(
  --(DataPlayer!$C$2:$C$99941=$C18),
  --(DataPlayer!$E$2:$E$99941&gt;0),
  --ISNUMBER(MATCH(DataPlayer!$A$2:$A$99941,_xlfn.ANCHORARRAY($A$2),0))
)</f>
        <v>1</v>
      </c>
      <c r="F18" s="9" cm="1">
        <f t="array" ref="F18">SUMPRODUCT(
  DataPlayer!$F$2:$F$99941,
  --(DataPlayer!$C$2:$C$99941=C18),
  --ISNUMBER(MATCH(DataPlayer!$A$2:$A$99941,_xlfn.ANCHORARRAY($A$2),0))
)</f>
        <v>0</v>
      </c>
      <c r="G18" s="9" cm="1">
        <f t="array" ref="G18">SUMPRODUCT(
  DataPlayer!$G$2:$G$99941,
  --(DataPlayer!$C$2:$C$99941=C18),
  --ISNUMBER(MATCH(DataPlayer!$A$2:$A$99941,_xlfn.ANCHORARRAY($A$2),0))
)</f>
        <v>0</v>
      </c>
      <c r="H18" s="9">
        <f t="shared" si="2"/>
        <v>0</v>
      </c>
      <c r="I18" s="9" cm="1">
        <f t="array" ref="I18">SUMPRODUCT(
  --(DataPlayer!$C$2:$C$99941=C18),
  --(DataPlayer!$H$2:$H$99941="x"),
  --ISNUMBER(MATCH(DataPlayer!$A$2:$A$99941,_xlfn.ANCHORARRAY($A$2),0))
)</f>
        <v>0</v>
      </c>
      <c r="J18" s="10" cm="1">
        <f t="array" ref="J18">IFERROR(
  AVERAGE(
    _xlfn._xlws.FILTER(
      DataPlayer!$E$2:$E$99941,
      (DataPlayer!$C$2:$C$99941=C18) *
      ISNUMBER(MATCH(DataPlayer!$A$2:$A$99941,_xlfn.ANCHORARRAY($A$2),0))
    )
  ),
  ""
)</f>
        <v>5.7</v>
      </c>
    </row>
    <row r="19" spans="1:10" ht="17" customHeight="1" thickBot="1" x14ac:dyDescent="0.25">
      <c r="A19" s="1"/>
      <c r="B19" s="1"/>
      <c r="C19" s="72" t="s">
        <v>91</v>
      </c>
      <c r="D19" s="73"/>
      <c r="E19" s="8" cm="1">
        <f t="array" ref="E19">SUMPRODUCT(
  --(DataPlayer!$C$2:$C$99941=$C19),
  --(DataPlayer!$E$2:$E$99941&gt;0),
  --ISNUMBER(MATCH(DataPlayer!$A$2:$A$99941,_xlfn.ANCHORARRAY($A$2),0))
)</f>
        <v>0</v>
      </c>
      <c r="F19" s="9" cm="1">
        <f t="array" ref="F19">SUMPRODUCT(
  DataPlayer!$F$2:$F$99941,
  --(DataPlayer!$C$2:$C$99941=C19),
  --ISNUMBER(MATCH(DataPlayer!$A$2:$A$99941,_xlfn.ANCHORARRAY($A$2),0))
)</f>
        <v>0</v>
      </c>
      <c r="G19" s="9" cm="1">
        <f t="array" ref="G19">SUMPRODUCT(
  DataPlayer!$G$2:$G$99941,
  --(DataPlayer!$C$2:$C$99941=C19),
  --ISNUMBER(MATCH(DataPlayer!$A$2:$A$99941,_xlfn.ANCHORARRAY($A$2),0))
)</f>
        <v>0</v>
      </c>
      <c r="H19" s="9">
        <f t="shared" si="2"/>
        <v>0</v>
      </c>
      <c r="I19" s="9" cm="1">
        <f t="array" ref="I19">SUMPRODUCT(
  --(DataPlayer!$C$2:$C$99941=C19),
  --(DataPlayer!$H$2:$H$99941="x"),
  --ISNUMBER(MATCH(DataPlayer!$A$2:$A$99941,_xlfn.ANCHORARRAY($A$2),0))
)</f>
        <v>0</v>
      </c>
      <c r="J19" s="10" t="str" cm="1">
        <f t="array" ref="J19">IFERROR(
  AVERAGE(
    _xlfn._xlws.FILTER(
      DataPlayer!$E$2:$E$99941,
      (DataPlayer!$C$2:$C$99941=C19) *
      ISNUMBER(MATCH(DataPlayer!$A$2:$A$99941,_xlfn.ANCHORARRAY($A$2),0))
    )
  ),
  ""
)</f>
        <v/>
      </c>
    </row>
    <row r="20" spans="1:10" ht="17" customHeight="1" thickBot="1" x14ac:dyDescent="0.25">
      <c r="A20" s="1"/>
      <c r="B20" s="1"/>
      <c r="C20" s="72" t="s">
        <v>15</v>
      </c>
      <c r="D20" s="73"/>
      <c r="E20" s="8" cm="1">
        <f t="array" ref="E20">SUMPRODUCT(
  --(DataPlayer!$C$2:$C$99941=$C20),
  --(DataPlayer!$E$2:$E$99941&gt;0),
  --ISNUMBER(MATCH(DataPlayer!$A$2:$A$99941,_xlfn.ANCHORARRAY($A$2),0))
)</f>
        <v>0</v>
      </c>
      <c r="F20" s="9" cm="1">
        <f t="array" ref="F20">SUMPRODUCT(
  DataPlayer!$F$2:$F$99941,
  --(DataPlayer!$C$2:$C$99941=C20),
  --ISNUMBER(MATCH(DataPlayer!$A$2:$A$99941,_xlfn.ANCHORARRAY($A$2),0))
)</f>
        <v>0</v>
      </c>
      <c r="G20" s="9" cm="1">
        <f t="array" ref="G20">SUMPRODUCT(
  DataPlayer!$G$2:$G$99941,
  --(DataPlayer!$C$2:$C$99941=C20),
  --ISNUMBER(MATCH(DataPlayer!$A$2:$A$99941,_xlfn.ANCHORARRAY($A$2),0))
)</f>
        <v>0</v>
      </c>
      <c r="H20" s="9">
        <f t="shared" si="2"/>
        <v>0</v>
      </c>
      <c r="I20" s="9" cm="1">
        <f t="array" ref="I20">SUMPRODUCT(
  --(DataPlayer!$C$2:$C$99941=C20),
  --(DataPlayer!$H$2:$H$99941="x"),
  --ISNUMBER(MATCH(DataPlayer!$A$2:$A$99941,_xlfn.ANCHORARRAY($A$2),0))
)</f>
        <v>0</v>
      </c>
      <c r="J20" s="10" t="str" cm="1">
        <f t="array" ref="J20">IFERROR(
  AVERAGE(
    _xlfn._xlws.FILTER(
      DataPlayer!$E$2:$E$99941,
      (DataPlayer!$C$2:$C$99941=C20) *
      ISNUMBER(MATCH(DataPlayer!$A$2:$A$99941,_xlfn.ANCHORARRAY($A$2),0))
    )
  ),
  ""
)</f>
        <v/>
      </c>
    </row>
    <row r="21" spans="1:10" ht="17" customHeight="1" thickBot="1" x14ac:dyDescent="0.25">
      <c r="A21" s="1"/>
      <c r="B21" s="1"/>
      <c r="C21" s="72" t="s">
        <v>23</v>
      </c>
      <c r="D21" s="73"/>
      <c r="E21" s="8" cm="1">
        <f t="array" ref="E21">SUMPRODUCT(
  --(DataPlayer!$C$2:$C$99941=$C21),
  --(DataPlayer!$E$2:$E$99941&gt;0),
  --ISNUMBER(MATCH(DataPlayer!$A$2:$A$99941,_xlfn.ANCHORARRAY($A$2),0))
)</f>
        <v>1</v>
      </c>
      <c r="F21" s="9" cm="1">
        <f t="array" ref="F21">SUMPRODUCT(
  DataPlayer!$F$2:$F$99941,
  --(DataPlayer!$C$2:$C$99941=C21),
  --ISNUMBER(MATCH(DataPlayer!$A$2:$A$99941,_xlfn.ANCHORARRAY($A$2),0))
)</f>
        <v>0</v>
      </c>
      <c r="G21" s="9" cm="1">
        <f t="array" ref="G21">SUMPRODUCT(
  DataPlayer!$G$2:$G$99941,
  --(DataPlayer!$C$2:$C$99941=C21),
  --ISNUMBER(MATCH(DataPlayer!$A$2:$A$99941,_xlfn.ANCHORARRAY($A$2),0))
)</f>
        <v>0</v>
      </c>
      <c r="H21" s="9">
        <f t="shared" si="2"/>
        <v>0</v>
      </c>
      <c r="I21" s="9" cm="1">
        <f t="array" ref="I21">SUMPRODUCT(
  --(DataPlayer!$C$2:$C$99941=C21),
  --(DataPlayer!$H$2:$H$99941="x"),
  --ISNUMBER(MATCH(DataPlayer!$A$2:$A$99941,_xlfn.ANCHORARRAY($A$2),0))
)</f>
        <v>0</v>
      </c>
      <c r="J21" s="10" cm="1">
        <f t="array" ref="J21">IFERROR(
  AVERAGE(
    _xlfn._xlws.FILTER(
      DataPlayer!$E$2:$E$99941,
      (DataPlayer!$C$2:$C$99941=C21) *
      ISNUMBER(MATCH(DataPlayer!$A$2:$A$99941,_xlfn.ANCHORARRAY($A$2),0))
    )
  ),
  ""
)</f>
        <v>6.8</v>
      </c>
    </row>
    <row r="22" spans="1:10" ht="17" customHeight="1" thickBot="1" x14ac:dyDescent="0.25">
      <c r="A22" s="1"/>
      <c r="B22" s="1"/>
      <c r="C22" s="72" t="s">
        <v>92</v>
      </c>
      <c r="D22" s="73"/>
      <c r="E22" s="8" cm="1">
        <f t="array" ref="E22">SUMPRODUCT(
  --(DataPlayer!$C$2:$C$99941=$C22),
  --(DataPlayer!$E$2:$E$99941&gt;0),
  --ISNUMBER(MATCH(DataPlayer!$A$2:$A$99941,_xlfn.ANCHORARRAY($A$2),0))
)</f>
        <v>0</v>
      </c>
      <c r="F22" s="9" cm="1">
        <f t="array" ref="F22">SUMPRODUCT(
  DataPlayer!$F$2:$F$99941,
  --(DataPlayer!$C$2:$C$99941=C22),
  --ISNUMBER(MATCH(DataPlayer!$A$2:$A$99941,_xlfn.ANCHORARRAY($A$2),0))
)</f>
        <v>0</v>
      </c>
      <c r="G22" s="9" cm="1">
        <f t="array" ref="G22">SUMPRODUCT(
  DataPlayer!$G$2:$G$99941,
  --(DataPlayer!$C$2:$C$99941=C22),
  --ISNUMBER(MATCH(DataPlayer!$A$2:$A$99941,_xlfn.ANCHORARRAY($A$2),0))
)</f>
        <v>0</v>
      </c>
      <c r="H22" s="9">
        <f t="shared" si="2"/>
        <v>0</v>
      </c>
      <c r="I22" s="9" cm="1">
        <f t="array" ref="I22">SUMPRODUCT(
  --(DataPlayer!$C$2:$C$99941=C22),
  --(DataPlayer!$H$2:$H$99941="x"),
  --ISNUMBER(MATCH(DataPlayer!$A$2:$A$99941,_xlfn.ANCHORARRAY($A$2),0))
)</f>
        <v>0</v>
      </c>
      <c r="J22" s="10" t="str" cm="1">
        <f t="array" ref="J22">IFERROR(
  AVERAGE(
    _xlfn._xlws.FILTER(
      DataPlayer!$E$2:$E$99941,
      (DataPlayer!$C$2:$C$99941=C22) *
      ISNUMBER(MATCH(DataPlayer!$A$2:$A$99941,_xlfn.ANCHORARRAY($A$2),0))
    )
  ),
  ""
)</f>
        <v/>
      </c>
    </row>
    <row r="23" spans="1:10" ht="17" customHeight="1" thickBot="1" x14ac:dyDescent="0.25">
      <c r="A23" s="1"/>
      <c r="B23" s="1"/>
      <c r="C23" s="95" t="s">
        <v>27</v>
      </c>
      <c r="D23" s="73"/>
      <c r="E23" s="2" t="s">
        <v>2</v>
      </c>
      <c r="F23" s="3" t="s">
        <v>3</v>
      </c>
      <c r="G23" s="4" t="s">
        <v>4</v>
      </c>
      <c r="H23" s="5" t="s">
        <v>5</v>
      </c>
      <c r="I23" s="6" t="s">
        <v>6</v>
      </c>
      <c r="J23" s="7" t="s">
        <v>7</v>
      </c>
    </row>
    <row r="24" spans="1:10" ht="17" customHeight="1" thickBot="1" x14ac:dyDescent="0.25">
      <c r="A24" s="1"/>
      <c r="B24" s="1"/>
      <c r="C24" s="72"/>
      <c r="D24" s="73"/>
      <c r="E24" s="8" cm="1">
        <f t="array" ref="E24">SUMPRODUCT(
  --(DataPlayer!$C$2:$C$99941=$C24),
  --(DataPlayer!$E$2:$E$99941&gt;0),
  --ISNUMBER(MATCH(DataPlayer!$A$2:$A$99941,_xlfn.ANCHORARRAY($A$2),0))
)</f>
        <v>0</v>
      </c>
      <c r="F24" s="9" cm="1">
        <f t="array" ref="F24">SUMPRODUCT(
  DataPlayer!$F$2:$F$99941,
  --(DataPlayer!$C$2:$C$99941=C24),
  --ISNUMBER(MATCH(DataPlayer!$A$2:$A$99941,_xlfn.ANCHORARRAY($A$2),0))
)</f>
        <v>0</v>
      </c>
      <c r="G24" s="9" cm="1">
        <f t="array" ref="G24">SUMPRODUCT(
  DataPlayer!$G$2:$G$99941,
  --(DataPlayer!$C$2:$C$99941=C24),
  --ISNUMBER(MATCH(DataPlayer!$A$2:$A$99941,_xlfn.ANCHORARRAY($A$2),0))
)</f>
        <v>0</v>
      </c>
      <c r="H24" s="9">
        <f t="shared" si="2"/>
        <v>0</v>
      </c>
      <c r="I24" s="9" cm="1">
        <f t="array" ref="I24">SUMPRODUCT(
  --(DataPlayer!$C$2:$C$99941=C24),
  --(DataPlayer!$H$2:$H$99941="x"),
  --ISNUMBER(MATCH(DataPlayer!$A$2:$A$99941,_xlfn.ANCHORARRAY($A$2),0))
)</f>
        <v>0</v>
      </c>
      <c r="J24" s="10" t="str" cm="1">
        <f t="array" ref="J24">IFERROR(
  AVERAGE(
    _xlfn._xlws.FILTER(
      DataPlayer!$E$2:$E$99941,
      (DataPlayer!$C$2:$C$99941=C24) *
      ISNUMBER(MATCH(DataPlayer!$A$2:$A$99941,_xlfn.ANCHORARRAY($A$2),0))
    )
  ),
  ""
)</f>
        <v/>
      </c>
    </row>
    <row r="25" spans="1:10" ht="17" customHeight="1" thickBot="1" x14ac:dyDescent="0.25">
      <c r="A25" s="1"/>
      <c r="B25" s="1"/>
      <c r="C25" s="72"/>
      <c r="D25" s="73"/>
      <c r="E25" s="8" cm="1">
        <f t="array" ref="E25">SUMPRODUCT(
  --(DataPlayer!$C$2:$C$99941=$C25),
  --(DataPlayer!$E$2:$E$99941&gt;0),
  --ISNUMBER(MATCH(DataPlayer!$A$2:$A$99941,_xlfn.ANCHORARRAY($A$2),0))
)</f>
        <v>0</v>
      </c>
      <c r="F25" s="9" cm="1">
        <f t="array" ref="F25">SUMPRODUCT(
  DataPlayer!$F$2:$F$99941,
  --(DataPlayer!$C$2:$C$99941=C25),
  --ISNUMBER(MATCH(DataPlayer!$A$2:$A$99941,_xlfn.ANCHORARRAY($A$2),0))
)</f>
        <v>0</v>
      </c>
      <c r="G25" s="9" cm="1">
        <f t="array" ref="G25">SUMPRODUCT(
  DataPlayer!$G$2:$G$99941,
  --(DataPlayer!$C$2:$C$99941=C25),
  --ISNUMBER(MATCH(DataPlayer!$A$2:$A$99941,_xlfn.ANCHORARRAY($A$2),0))
)</f>
        <v>0</v>
      </c>
      <c r="H25" s="9">
        <f t="shared" si="2"/>
        <v>0</v>
      </c>
      <c r="I25" s="9" cm="1">
        <f t="array" ref="I25">SUMPRODUCT(
  --(DataPlayer!$C$2:$C$99941=C25),
  --(DataPlayer!$H$2:$H$99941="x"),
  --ISNUMBER(MATCH(DataPlayer!$A$2:$A$99941,_xlfn.ANCHORARRAY($A$2),0))
)</f>
        <v>0</v>
      </c>
      <c r="J25" s="10" t="str" cm="1">
        <f t="array" ref="J25">IFERROR(
  AVERAGE(
    _xlfn._xlws.FILTER(
      DataPlayer!$E$2:$E$99941,
      (DataPlayer!$C$2:$C$99941=C25) *
      ISNUMBER(MATCH(DataPlayer!$A$2:$A$99941,_xlfn.ANCHORARRAY($A$2),0))
    )
  ),
  ""
)</f>
        <v/>
      </c>
    </row>
    <row r="26" spans="1:10" ht="17" customHeight="1" thickBot="1" x14ac:dyDescent="0.25">
      <c r="A26" s="1"/>
      <c r="B26" s="1"/>
      <c r="C26" s="72"/>
      <c r="D26" s="73"/>
      <c r="E26" s="8" cm="1">
        <f t="array" ref="E26">SUMPRODUCT(
  --(DataPlayer!$C$2:$C$99941=$C26),
  --(DataPlayer!$E$2:$E$99941&gt;0),
  --ISNUMBER(MATCH(DataPlayer!$A$2:$A$99941,_xlfn.ANCHORARRAY($A$2),0))
)</f>
        <v>0</v>
      </c>
      <c r="F26" s="9" cm="1">
        <f t="array" ref="F26">SUMPRODUCT(
  DataPlayer!$F$2:$F$99941,
  --(DataPlayer!$C$2:$C$99941=C26),
  --ISNUMBER(MATCH(DataPlayer!$A$2:$A$99941,_xlfn.ANCHORARRAY($A$2),0))
)</f>
        <v>0</v>
      </c>
      <c r="G26" s="9" cm="1">
        <f t="array" ref="G26">SUMPRODUCT(
  DataPlayer!$G$2:$G$99941,
  --(DataPlayer!$C$2:$C$99941=C26),
  --ISNUMBER(MATCH(DataPlayer!$A$2:$A$99941,_xlfn.ANCHORARRAY($A$2),0))
)</f>
        <v>0</v>
      </c>
      <c r="H26" s="9">
        <f t="shared" si="2"/>
        <v>0</v>
      </c>
      <c r="I26" s="9" cm="1">
        <f t="array" ref="I26">SUMPRODUCT(
  --(DataPlayer!$C$2:$C$99941=C26),
  --(DataPlayer!$H$2:$H$99941="x"),
  --ISNUMBER(MATCH(DataPlayer!$A$2:$A$99941,_xlfn.ANCHORARRAY($A$2),0))
)</f>
        <v>0</v>
      </c>
      <c r="J26" s="10" t="str" cm="1">
        <f t="array" ref="J26">IFERROR(
  AVERAGE(
    _xlfn._xlws.FILTER(
      DataPlayer!$E$2:$E$99941,
      (DataPlayer!$C$2:$C$99941=C26) *
      ISNUMBER(MATCH(DataPlayer!$A$2:$A$99941,_xlfn.ANCHORARRAY($A$2),0))
    )
  ),
  ""
)</f>
        <v/>
      </c>
    </row>
    <row r="27" spans="1:10" ht="17" customHeight="1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" customHeight="1" thickTop="1" thickBot="1" x14ac:dyDescent="0.25">
      <c r="A28" s="1"/>
      <c r="B28" s="1"/>
      <c r="C28" s="88" t="s">
        <v>29</v>
      </c>
      <c r="D28" s="89"/>
      <c r="E28" s="89"/>
      <c r="F28" s="23"/>
      <c r="G28" s="86" t="s">
        <v>30</v>
      </c>
      <c r="H28" s="87"/>
      <c r="J28" s="80" t="s">
        <v>31</v>
      </c>
    </row>
    <row r="29" spans="1:10" ht="18" customHeight="1" thickTop="1" thickBot="1" x14ac:dyDescent="0.25">
      <c r="A29" s="1"/>
      <c r="B29" s="1"/>
      <c r="C29" s="11" t="s">
        <v>32</v>
      </c>
      <c r="D29" s="12" t="s">
        <v>33</v>
      </c>
      <c r="E29" s="22" t="s">
        <v>75</v>
      </c>
      <c r="G29" s="11" t="s">
        <v>34</v>
      </c>
      <c r="H29" s="12" t="s">
        <v>35</v>
      </c>
      <c r="I29" s="20"/>
      <c r="J29" s="81"/>
    </row>
    <row r="30" spans="1:10" ht="17" customHeight="1" thickTop="1" thickBot="1" x14ac:dyDescent="0.25">
      <c r="A30" s="1"/>
      <c r="B30" s="1"/>
      <c r="C30" s="84" cm="1">
        <f t="array" ref="C30">SUM(
  --(
    _xlfn.XLOOKUP(_xlfn.ANCHORARRAY(
      $A$2),
      DataGames!$A$2:$A$99987,
      DataGames!$H$2:$H$99987,
      ""
    )
    ="Win"
  )
)</f>
        <v>0</v>
      </c>
      <c r="D30" s="74" cm="1">
        <f t="array" ref="D30">SUM(
  --(
    _xlfn.XLOOKUP(_xlfn.ANCHORARRAY(
      $A$2),
      DataGames!$A$2:$A$99987,
      DataGames!$H$2:$H$99987,
      ""
    )
    ="Loss"
  )
)</f>
        <v>0</v>
      </c>
      <c r="E30" s="85" cm="1">
        <f t="array" ref="E30">SUM(
  --(
    _xlfn.XLOOKUP(_xlfn.ANCHORARRAY(
      $A$2),
      DataGames!$A$2:$A$99987,
      DataGames!$H$2:$H$99987,
      ""
    )
    ="Draw"
  )
)</f>
        <v>1</v>
      </c>
      <c r="G30" s="84" cm="1">
        <f t="array" ref="G30">_xlfn.LET(
  _xlpm.Ort,_xlfn.XLOOKUP(_xlfn.ANCHORARRAY($A$2),DataGames!$A$2:$A$99987,DataGames!$I$2:$I$99987,""),
  _xlpm.Heim,_xlfn.XLOOKUP(_xlfn.ANCHORARRAY($A$2),DataGames!$A$2:$A$99987,DataGames!$D$2:$D$99987,0),
  _xlpm.Gast,_xlfn.XLOOKUP(_xlfn.ANCHORARRAY($A$2),DataGames!$A$2:$A$99987,DataGames!$E$2:$E$99987,0),
  SUM(--(_xlpm.Ort="Heim")*_xlpm.Heim)+SUM(--(_xlpm.Ort="Gast")*_xlpm.Gast)
)</f>
        <v>5</v>
      </c>
      <c r="H30" s="74" cm="1">
        <f t="array" ref="H30">_xlfn.LET(
  _xlpm.Ort,_xlfn.XLOOKUP(_xlfn.ANCHORARRAY($A$2),DataGames!$A$2:$A$99987,DataGames!$I$2:$I$99987,""),
  _xlpm.D,_xlfn.XLOOKUP(_xlfn.ANCHORARRAY($A$2),DataGames!$A$2:$A$99987,DataGames!$D$2:$D$99987,0),
  _xlpm.E,_xlfn.XLOOKUP(_xlfn.ANCHORARRAY($A$2),DataGames!$A$2:$A$99987,DataGames!$E$2:$E$99987,0),
  SUM(--(_xlpm.Ort="Gast")*_xlpm.D)+SUM(--(_xlpm.Ort="Heim")*_xlpm.E)
)</f>
        <v>5</v>
      </c>
      <c r="J30" s="76" cm="1">
        <f t="array" ref="J30">SUM(
  --(
    _xlfn.XLOOKUP(_xlfn.ANCHORARRAY(
      $A$2),
      DataGames!$A$2:$A$99987,
      DataGames!$Z$2:$Z$99987,
      ""
    )
    ="ja"
  )
)</f>
        <v>0</v>
      </c>
    </row>
    <row r="31" spans="1:10" ht="17" customHeight="1" thickTop="1" thickBot="1" x14ac:dyDescent="0.25">
      <c r="A31" s="1"/>
      <c r="B31" s="1"/>
      <c r="C31" s="75"/>
      <c r="D31" s="75"/>
      <c r="E31" s="75"/>
      <c r="G31" s="75"/>
      <c r="H31" s="75"/>
      <c r="J31" s="77"/>
    </row>
    <row r="32" spans="1:10" ht="18" customHeight="1" thickTop="1" thickBot="1" x14ac:dyDescent="0.25">
      <c r="A32" s="1"/>
      <c r="B32" s="1"/>
      <c r="C32" s="11" t="s">
        <v>36</v>
      </c>
      <c r="D32" s="12" t="s">
        <v>37</v>
      </c>
      <c r="E32" s="1"/>
      <c r="G32" s="11" t="s">
        <v>38</v>
      </c>
      <c r="H32" s="12" t="s">
        <v>38</v>
      </c>
      <c r="I32" s="1"/>
      <c r="J32" s="1"/>
    </row>
    <row r="33" spans="1:10" ht="17" customHeight="1" thickTop="1" thickBot="1" x14ac:dyDescent="0.25">
      <c r="A33" s="1"/>
      <c r="B33" s="1"/>
      <c r="C33" s="84" cm="1">
        <f t="array" ref="C33">SUM(
  --(
    _xlfn.XLOOKUP(_xlfn.ANCHORARRAY(
      $A$2),
      DataGames!$A$2:$A$99987,
      DataGames!$X$2:$X$99987,
      ""
    )
    ="Opponent quit (win)"
  )
)</f>
        <v>0</v>
      </c>
      <c r="D33" s="74"/>
      <c r="E33" s="13"/>
      <c r="G33" s="96">
        <f>G30/E4</f>
        <v>5</v>
      </c>
      <c r="H33" s="99">
        <f>H30/E4</f>
        <v>5</v>
      </c>
      <c r="J33" s="97" t="s">
        <v>39</v>
      </c>
    </row>
    <row r="34" spans="1:10" ht="17" customHeight="1" thickTop="1" thickBot="1" x14ac:dyDescent="0.25">
      <c r="A34" s="1"/>
      <c r="B34" s="1"/>
      <c r="C34" s="75"/>
      <c r="D34" s="75"/>
      <c r="E34" s="1"/>
      <c r="G34" s="75"/>
      <c r="H34" s="75"/>
      <c r="I34" s="20"/>
      <c r="J34" s="98"/>
    </row>
    <row r="35" spans="1:10" ht="18" customHeight="1" thickTop="1" thickBot="1" x14ac:dyDescent="0.25">
      <c r="A35" s="1"/>
      <c r="B35" s="1"/>
      <c r="C35" s="32"/>
      <c r="D35" s="33"/>
      <c r="E35" s="1"/>
      <c r="G35" s="1"/>
      <c r="H35" s="1"/>
      <c r="J35" s="82" cm="1">
        <f t="array" ref="J35">IFERROR(
  AVERAGE(
    _xlfn.XLOOKUP(_xlfn.ANCHORARRAY(
      $A$2),
      DataGames!$A$2:$A$99987,
      DataGames!$J$2:$J$99987,
      ""
    )
  ),
  " "
)</f>
        <v>0.52</v>
      </c>
    </row>
    <row r="36" spans="1:10" ht="18" customHeight="1" thickTop="1" thickBot="1" x14ac:dyDescent="0.25">
      <c r="A36" s="1"/>
      <c r="B36" s="1"/>
      <c r="C36" s="34"/>
      <c r="D36" s="34"/>
      <c r="E36" s="1"/>
      <c r="G36" s="86" t="s">
        <v>40</v>
      </c>
      <c r="H36" s="69">
        <f>_xlfn.MAXIFS(E57:E71,D57:D71,"Win")</f>
        <v>0</v>
      </c>
      <c r="I36" s="21"/>
      <c r="J36" s="83"/>
    </row>
    <row r="37" spans="1:10" ht="18" customHeight="1" thickTop="1" thickBot="1" x14ac:dyDescent="0.25">
      <c r="A37" s="1"/>
      <c r="B37" s="1"/>
      <c r="E37" s="1"/>
      <c r="G37" s="75"/>
      <c r="H37" s="75"/>
      <c r="I37" s="21"/>
      <c r="J37" s="21"/>
    </row>
    <row r="38" spans="1:10" ht="18" customHeight="1" thickTop="1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7" customHeight="1" thickTop="1" thickBot="1" x14ac:dyDescent="0.25">
      <c r="A39" s="1"/>
      <c r="B39" s="1"/>
      <c r="C39" s="86" t="s">
        <v>41</v>
      </c>
      <c r="D39" s="69" t="str">
        <f>INDEX(C4:C22,MATCH(D41,F4:F22,0))</f>
        <v>J. Cruyff</v>
      </c>
      <c r="E39" s="69" t="str">
        <f>INDEX(C4:C22,MATCH(E41,F4:F22,0))</f>
        <v>J. Cruyff</v>
      </c>
      <c r="F39" s="69" t="str">
        <f>INDEX(C4:C22,MATCH(F41,F4:F22,0))</f>
        <v>C. Pina</v>
      </c>
      <c r="G39" s="1"/>
      <c r="H39" s="57" t="s">
        <v>42</v>
      </c>
      <c r="J39" s="57" t="s">
        <v>45</v>
      </c>
    </row>
    <row r="40" spans="1:10" ht="17" customHeight="1" thickTop="1" thickBot="1" x14ac:dyDescent="0.25">
      <c r="A40" s="1"/>
      <c r="B40" s="1"/>
      <c r="C40" s="70"/>
      <c r="D40" s="75"/>
      <c r="E40" s="75"/>
      <c r="F40" s="75"/>
      <c r="G40" s="35"/>
      <c r="H40" s="58"/>
      <c r="J40" s="58"/>
    </row>
    <row r="41" spans="1:10" ht="17" customHeight="1" thickTop="1" thickBot="1" x14ac:dyDescent="0.25">
      <c r="A41" s="1"/>
      <c r="B41" s="1"/>
      <c r="C41" s="70"/>
      <c r="D41" s="90">
        <f>LARGE(F1:F21, 1)</f>
        <v>2</v>
      </c>
      <c r="E41" s="90">
        <f>LARGE(F1:F21, 2)</f>
        <v>2</v>
      </c>
      <c r="F41" s="90">
        <f>LARGE(F1:F21, 3)</f>
        <v>1</v>
      </c>
      <c r="G41" s="35"/>
      <c r="H41" s="69" t="str">
        <f>INDEX(C4:C22,MATCH(H43,H4:H22,0))</f>
        <v>C. Pina</v>
      </c>
      <c r="J41" s="69" t="str">
        <f>INDEX(C4:C22,MATCH(J43,I4:I22,0))</f>
        <v>J. Cruyff</v>
      </c>
    </row>
    <row r="42" spans="1:10" ht="17" customHeight="1" thickTop="1" thickBot="1" x14ac:dyDescent="0.25">
      <c r="A42" s="1"/>
      <c r="B42" s="1"/>
      <c r="C42" s="75"/>
      <c r="D42" s="75"/>
      <c r="E42" s="75"/>
      <c r="F42" s="75"/>
      <c r="G42" s="35"/>
      <c r="H42" s="70"/>
      <c r="J42" s="71"/>
    </row>
    <row r="43" spans="1:10" ht="18" customHeight="1" thickTop="1" thickBot="1" x14ac:dyDescent="0.25">
      <c r="A43" s="1"/>
      <c r="B43" s="1"/>
      <c r="C43" s="1"/>
      <c r="D43" s="91"/>
      <c r="E43" s="92"/>
      <c r="F43" s="1"/>
      <c r="G43" s="1"/>
      <c r="H43" s="39">
        <f>LARGE(H4:H22,1)</f>
        <v>4</v>
      </c>
      <c r="J43" s="38">
        <f>LARGE(I4:I22,1)</f>
        <v>0</v>
      </c>
    </row>
    <row r="44" spans="1:10" ht="17" customHeight="1" thickTop="1" thickBot="1" x14ac:dyDescent="0.25">
      <c r="A44" s="1"/>
      <c r="B44" s="1"/>
      <c r="C44" s="86" t="s">
        <v>43</v>
      </c>
      <c r="D44" s="69" t="str">
        <f>INDEX(C4:C22,MATCH(D46,G4:G22,0))</f>
        <v>C. Pina</v>
      </c>
      <c r="E44" s="69" t="str">
        <f>INDEX(C4:C22,MATCH(E46,G4:G22,0))</f>
        <v>M. Salah</v>
      </c>
      <c r="F44" s="69" t="str">
        <f>INDEX(C4:C22,MATCH(F46,G4:G22,0))</f>
        <v>J. Cruyff</v>
      </c>
      <c r="G44" s="1"/>
      <c r="H44" s="52"/>
    </row>
    <row r="45" spans="1:10" ht="17" customHeight="1" thickTop="1" thickBot="1" x14ac:dyDescent="0.25">
      <c r="A45" s="1"/>
      <c r="B45" s="1"/>
      <c r="C45" s="70"/>
      <c r="D45" s="75"/>
      <c r="E45" s="75"/>
      <c r="F45" s="75"/>
      <c r="G45" s="13"/>
      <c r="H45" s="53"/>
    </row>
    <row r="46" spans="1:10" ht="17" customHeight="1" thickTop="1" thickBot="1" x14ac:dyDescent="0.25">
      <c r="A46" s="1"/>
      <c r="B46" s="1"/>
      <c r="C46" s="70"/>
      <c r="D46" s="90">
        <f>LARGE($G$3:$G$22, 1)</f>
        <v>3</v>
      </c>
      <c r="E46" s="90">
        <f>LARGE($G$3:$G$22, 2)</f>
        <v>1</v>
      </c>
      <c r="F46" s="90">
        <f>LARGE($G$3:$G$22, 3)</f>
        <v>0</v>
      </c>
      <c r="G46" s="35"/>
      <c r="H46" s="65" t="s">
        <v>78</v>
      </c>
      <c r="I46" s="59" t="s">
        <v>79</v>
      </c>
      <c r="J46" s="63" t="s">
        <v>80</v>
      </c>
    </row>
    <row r="47" spans="1:10" ht="17" customHeight="1" thickTop="1" thickBot="1" x14ac:dyDescent="0.25">
      <c r="A47" s="1"/>
      <c r="B47" s="1"/>
      <c r="C47" s="75"/>
      <c r="D47" s="75"/>
      <c r="E47" s="75"/>
      <c r="F47" s="75"/>
      <c r="G47" s="35"/>
      <c r="H47" s="66"/>
      <c r="I47" s="60"/>
      <c r="J47" s="64"/>
    </row>
    <row r="48" spans="1:10" ht="18" customHeight="1" thickTop="1" thickBot="1" x14ac:dyDescent="0.25">
      <c r="A48" s="1"/>
      <c r="B48" s="1"/>
      <c r="C48" s="14"/>
      <c r="D48" s="14"/>
      <c r="E48" s="1"/>
      <c r="F48" s="1"/>
      <c r="G48" s="1"/>
      <c r="H48" s="36" t="s">
        <v>76</v>
      </c>
      <c r="I48" s="40" cm="1">
        <f t="array" ref="I48">IFERROR(
  SUM(
    _xlfn.XLOOKUP(_xlfn.ANCHORARRAY(
      $A$2),
      DataGames!$A$2:$A$99987,
      DataGames!$O$2:$O$99987,
      0
    )
  ),
  " "
)</f>
        <v>2.2999999999999998</v>
      </c>
      <c r="J48" s="42" cm="1">
        <f t="array" ref="J48">IFERROR(
  SUM(
    _xlfn.XLOOKUP(_xlfn.ANCHORARRAY(
      $A$2),
      DataGames!$A$2:$A$99987,
      DataGames!$P$2:$P$99987,
      0
    )
  ),
  " "
)</f>
        <v>0</v>
      </c>
    </row>
    <row r="49" spans="1:10" ht="17" customHeight="1" thickTop="1" thickBot="1" x14ac:dyDescent="0.25">
      <c r="A49" s="1"/>
      <c r="B49" s="1"/>
      <c r="C49" s="101" t="s">
        <v>44</v>
      </c>
      <c r="D49" s="69" t="str">
        <f>INDEX(C4:C22,MATCH(D51,J4:J22,0))</f>
        <v>C. Pina</v>
      </c>
      <c r="E49" s="69" t="str">
        <f>INDEX(C4:C22,MATCH(E51,J4:J22,0))</f>
        <v>J. Cruyff</v>
      </c>
      <c r="F49" s="69" t="str">
        <f>INDEX(C4:C22,MATCH(F51,J4:J22,0))</f>
        <v>M. Salah</v>
      </c>
      <c r="G49" s="1"/>
      <c r="H49" s="37" t="s">
        <v>77</v>
      </c>
      <c r="I49" s="41" cm="1">
        <f t="array" ref="I49">IFERROR(
  AVERAGE(
    _xlfn.XLOOKUP(_xlfn.ANCHORARRAY(
      $A$2),
      DataGames!$A$2:$A$99987,
      DataGames!$O$2:$O$99987,
      ""
    )
  ),
  " "
)</f>
        <v>2.2999999999999998</v>
      </c>
      <c r="J49" s="43" t="str" cm="1">
        <f t="array" ref="J49">IFERROR(
  AVERAGE(
    _xlfn.XLOOKUP(_xlfn.ANCHORARRAY(
      $A$2),
      DataGames!$A$2:$A$99987,
      DataGames!$P$2:$P$99987,
      ""
    )
  ),
  " "
)</f>
        <v xml:space="preserve"> </v>
      </c>
    </row>
    <row r="50" spans="1:10" ht="17" customHeight="1" thickTop="1" thickBot="1" x14ac:dyDescent="0.25">
      <c r="A50" s="1"/>
      <c r="B50" s="1"/>
      <c r="C50" s="70"/>
      <c r="D50" s="75"/>
      <c r="E50" s="75"/>
      <c r="F50" s="75"/>
      <c r="G50" s="1"/>
      <c r="H50" s="1"/>
      <c r="I50" s="1"/>
      <c r="J50" s="1"/>
    </row>
    <row r="51" spans="1:10" ht="17" customHeight="1" thickTop="1" thickBot="1" x14ac:dyDescent="0.25">
      <c r="A51" s="1"/>
      <c r="B51" s="1"/>
      <c r="C51" s="70"/>
      <c r="D51" s="100">
        <f>LARGE(J4:J22,1)</f>
        <v>9.4</v>
      </c>
      <c r="E51" s="100">
        <f>LARGE(J4:J22,2)</f>
        <v>8.5</v>
      </c>
      <c r="F51" s="100">
        <f>LARGE(J4:J22,3)</f>
        <v>8.3000000000000007</v>
      </c>
      <c r="G51" s="1"/>
      <c r="H51" s="67" t="s">
        <v>81</v>
      </c>
      <c r="I51" s="59" t="s">
        <v>79</v>
      </c>
      <c r="J51" s="63" t="s">
        <v>80</v>
      </c>
    </row>
    <row r="52" spans="1:10" ht="17" customHeight="1" thickTop="1" thickBot="1" x14ac:dyDescent="0.25">
      <c r="A52" s="1"/>
      <c r="B52" s="1"/>
      <c r="C52" s="75"/>
      <c r="D52" s="75"/>
      <c r="E52" s="75"/>
      <c r="F52" s="75"/>
      <c r="G52" s="35"/>
      <c r="H52" s="68"/>
      <c r="I52" s="60"/>
      <c r="J52" s="64"/>
    </row>
    <row r="53" spans="1:10" ht="17" customHeight="1" thickTop="1" x14ac:dyDescent="0.2">
      <c r="A53" s="1"/>
      <c r="B53" s="1"/>
      <c r="C53" s="14"/>
      <c r="D53" s="14"/>
      <c r="E53" s="1"/>
      <c r="F53" s="1"/>
      <c r="G53" s="1"/>
      <c r="H53" s="36" t="s">
        <v>82</v>
      </c>
      <c r="I53" s="44" cm="1">
        <f t="array" ref="I53">IFERROR(
  AVERAGE(
    _xlfn.XLOOKUP(_xlfn.ANCHORARRAY(
      $A$2),
      DataGames!$A$2:$A$99987,
      DataGames!$Q$2:$Q$99987,
      ""
    )
  ),
  " "
)</f>
        <v>200</v>
      </c>
      <c r="J53" s="45" t="str" cm="1">
        <f t="array" ref="J53">IFERROR(
  AVERAGE(
    _xlfn.XLOOKUP(_xlfn.ANCHORARRAY(
      $A$2),
      DataGames!$A$2:$A$99987,
      DataGames!$R$2:$R$99987,
      ""
    )
  ),
  " "
)</f>
        <v xml:space="preserve"> </v>
      </c>
    </row>
    <row r="54" spans="1:10" ht="17" thickBot="1" x14ac:dyDescent="0.25">
      <c r="A54" s="1"/>
      <c r="B54" s="1"/>
      <c r="C54" s="14"/>
      <c r="D54" s="14" t="s">
        <v>46</v>
      </c>
      <c r="E54" s="1"/>
      <c r="F54" s="1"/>
      <c r="G54" s="1"/>
      <c r="H54" s="37" t="s">
        <v>83</v>
      </c>
      <c r="I54" s="46" cm="1">
        <f t="array" ref="I54">IFERROR(
  AVERAGE(
    _xlfn.XLOOKUP(_xlfn.ANCHORARRAY(
      $A$2),
      DataGames!$A$2:$A$99987,
      DataGames!$S$2:$S$99987,
      ""
    )
  ),
  " "
)</f>
        <v>0.87</v>
      </c>
      <c r="J54" s="47" t="str" cm="1">
        <f t="array" ref="J54">IFERROR(
  AVERAGE(
    _xlfn.XLOOKUP(_xlfn.ANCHORARRAY(
      $A$2),
      DataGames!$A$2:$A$99987,
      DataGames!$T$2:$T$99987,
      ""
    )
  ),
  " "
)</f>
        <v xml:space="preserve"> </v>
      </c>
    </row>
    <row r="55" spans="1:10" ht="17" customHeight="1" thickTop="1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" customHeight="1" thickTop="1" thickBot="1" x14ac:dyDescent="0.25">
      <c r="A56" s="1"/>
      <c r="B56" s="1"/>
      <c r="C56" s="15" t="s">
        <v>47</v>
      </c>
      <c r="D56" s="15" t="s">
        <v>48</v>
      </c>
      <c r="E56" s="16" t="s">
        <v>49</v>
      </c>
      <c r="F56" s="16" t="s">
        <v>73</v>
      </c>
      <c r="G56" s="1"/>
      <c r="H56" s="57" t="s">
        <v>85</v>
      </c>
      <c r="I56" s="59" t="s">
        <v>79</v>
      </c>
      <c r="J56" s="63" t="s">
        <v>80</v>
      </c>
    </row>
    <row r="57" spans="1:10" ht="17" customHeight="1" thickTop="1" thickBot="1" x14ac:dyDescent="0.25">
      <c r="A57" s="1"/>
      <c r="B57" s="1"/>
      <c r="C57" s="26">
        <v>1</v>
      </c>
      <c r="D57" s="24" t="str" cm="1">
        <f t="array" ref="D57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>Draw</v>
      </c>
      <c r="E57" s="25" t="str">
        <f>IF(OR(D57="Win",D57="Loss"),1,"")</f>
        <v/>
      </c>
      <c r="F57" s="24" t="str" cm="1">
        <f t="array" ref="F57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>Rivals</v>
      </c>
      <c r="G57" s="1"/>
      <c r="H57" s="58"/>
      <c r="I57" s="60"/>
      <c r="J57" s="64"/>
    </row>
    <row r="58" spans="1:10" ht="17" thickTop="1" x14ac:dyDescent="0.2">
      <c r="A58" s="1"/>
      <c r="B58" s="1"/>
      <c r="C58" s="27">
        <v>2</v>
      </c>
      <c r="D58" s="24" t="str" cm="1">
        <f t="array" ref="D58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58" s="25" t="str">
        <f t="shared" ref="E58:E71" si="3">IF(OR(D58="Win",D58="Loss"),IF(D58=D57,E57+1,1),"")</f>
        <v/>
      </c>
      <c r="F58" s="24" t="str" cm="1">
        <f t="array" ref="F58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58" s="1"/>
      <c r="H58" s="36" t="s">
        <v>82</v>
      </c>
      <c r="I58" s="44" cm="1">
        <f t="array" ref="I58">IFERROR(
  AVERAGE(
    _xlfn.XLOOKUP(_xlfn.ANCHORARRAY(
      $A$2),
      DataGames!$A$2:$A$99987,
      DataGames!$K$2:$K$99987,
      ""
    )
  ),
  " "
)</f>
        <v>9</v>
      </c>
      <c r="J58" s="45" t="str" cm="1">
        <f t="array" ref="J58">IFERROR(
  AVERAGE(
    _xlfn.XLOOKUP(_xlfn.ANCHORARRAY(
      $A$2),
      DataGames!$A$2:$A$99987,
      DataGames!$L$2:$L$99987,
      ""
    )
  ),
  " "
)</f>
        <v xml:space="preserve"> </v>
      </c>
    </row>
    <row r="59" spans="1:10" ht="17" thickBot="1" x14ac:dyDescent="0.25">
      <c r="A59" s="1"/>
      <c r="B59" s="1"/>
      <c r="C59" s="27">
        <v>3</v>
      </c>
      <c r="D59" s="24" t="str" cm="1">
        <f t="array" ref="D59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59" s="25" t="str">
        <f t="shared" si="3"/>
        <v/>
      </c>
      <c r="F59" s="24" t="str" cm="1">
        <f t="array" ref="F59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59" s="1"/>
      <c r="H59" s="37" t="s">
        <v>84</v>
      </c>
      <c r="I59" s="46" cm="1">
        <f t="array" ref="I59">IFERROR(
  AVERAGE(
    _xlfn.XLOOKUP(_xlfn.ANCHORARRAY(
      $A$2),
      DataGames!$A$2:$A$99987,
      DataGames!$M$2:$M$99987,
      ""
    )
  ),
  " "
)</f>
        <v>0.89</v>
      </c>
      <c r="J59" s="47" t="str" cm="1">
        <f t="array" ref="J59">IFERROR(
  AVERAGE(
    _xlfn.XLOOKUP(_xlfn.ANCHORARRAY(
      $A$2),
      DataGames!$A$2:$A$99987,
      DataGames!$N$2:$N$99987,
      ""
    )
  ),
  " "
)</f>
        <v xml:space="preserve"> </v>
      </c>
    </row>
    <row r="60" spans="1:10" ht="18" thickTop="1" thickBot="1" x14ac:dyDescent="0.25">
      <c r="A60" s="1"/>
      <c r="B60" s="1"/>
      <c r="C60" s="27">
        <v>4</v>
      </c>
      <c r="D60" s="24" t="str" cm="1">
        <f t="array" ref="D60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0" s="25" t="str">
        <f t="shared" si="3"/>
        <v/>
      </c>
      <c r="F60" s="24" t="str" cm="1">
        <f t="array" ref="F60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0" s="1"/>
    </row>
    <row r="61" spans="1:10" ht="17" thickTop="1" x14ac:dyDescent="0.2">
      <c r="A61" s="1"/>
      <c r="B61" s="1"/>
      <c r="C61" s="27">
        <v>5</v>
      </c>
      <c r="D61" s="24" t="str" cm="1">
        <f t="array" ref="D61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1" s="25" t="str">
        <f t="shared" si="3"/>
        <v/>
      </c>
      <c r="F61" s="24" t="str" cm="1">
        <f t="array" ref="F61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1" s="1"/>
      <c r="H61" s="57" t="s">
        <v>90</v>
      </c>
      <c r="I61" s="59" t="s">
        <v>87</v>
      </c>
      <c r="J61" s="61" t="s">
        <v>88</v>
      </c>
    </row>
    <row r="62" spans="1:10" ht="17" thickBot="1" x14ac:dyDescent="0.25">
      <c r="A62" s="1"/>
      <c r="B62" s="1"/>
      <c r="C62" s="27">
        <v>6</v>
      </c>
      <c r="D62" s="24" t="str" cm="1">
        <f t="array" ref="D62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2" s="25" t="str">
        <f t="shared" si="3"/>
        <v/>
      </c>
      <c r="F62" s="24" t="str" cm="1">
        <f t="array" ref="F62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2" s="1"/>
      <c r="H62" s="58"/>
      <c r="I62" s="60"/>
      <c r="J62" s="62"/>
    </row>
    <row r="63" spans="1:10" ht="17" thickTop="1" x14ac:dyDescent="0.2">
      <c r="A63" s="1"/>
      <c r="B63" s="1"/>
      <c r="C63" s="27">
        <v>7</v>
      </c>
      <c r="D63" s="24" t="str" cm="1">
        <f t="array" ref="D63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3" s="25" t="str">
        <f t="shared" si="3"/>
        <v/>
      </c>
      <c r="F63" s="24" t="str" cm="1">
        <f t="array" ref="F63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3" s="1"/>
      <c r="H63" s="36" t="s">
        <v>76</v>
      </c>
      <c r="I63" s="44" cm="1">
        <f t="array" ref="I63">IFERROR(
  SUM(
    _xlfn.XLOOKUP(_xlfn.ANCHORARRAY(
      $A$2),
      DataGames!$A$2:$A$99987,
      DataGames!$V$2:$V$99987,
      0
    )
  ),
  " "
)</f>
        <v>0</v>
      </c>
      <c r="J63" s="54" cm="1">
        <f t="array" ref="J63">IFERROR(
  SUM(
    _xlfn.XLOOKUP(_xlfn.ANCHORARRAY(
      $A$2),
      DataGames!$A$2:$A$99987,
      DataGames!$W$2:$W$99987,
      0
    )
  ),
  " "
)</f>
        <v>0</v>
      </c>
    </row>
    <row r="64" spans="1:10" ht="17" thickBot="1" x14ac:dyDescent="0.25">
      <c r="A64" s="1"/>
      <c r="B64" s="1"/>
      <c r="C64" s="27">
        <v>8</v>
      </c>
      <c r="D64" s="24" t="str" cm="1">
        <f t="array" ref="D64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4" s="25" t="str">
        <f t="shared" si="3"/>
        <v/>
      </c>
      <c r="F64" s="24" t="str" cm="1">
        <f t="array" ref="F64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4" s="1"/>
      <c r="H64" s="37" t="s">
        <v>89</v>
      </c>
      <c r="I64" s="41" cm="1">
        <f t="array" ref="I64">IFERROR(
  AVERAGE(
    _xlfn.XLOOKUP(_xlfn.ANCHORARRAY(
      $A$2),
      DataGames!$A$2:$A$99987,
      DataGames!$V$2:$V$99987,
      ""
    )
  ),
  " "
)</f>
        <v>0</v>
      </c>
      <c r="J64" s="55" cm="1">
        <f t="array" ref="J64">IFERROR(
  AVERAGE(
    _xlfn.XLOOKUP(_xlfn.ANCHORARRAY(
      $A$2),
      DataGames!$A$2:$A$99987,
      DataGames!$W$2:$W$99987,
      ""
    )
  ),
  " "
)</f>
        <v>0</v>
      </c>
    </row>
    <row r="65" spans="1:7" ht="17" thickTop="1" x14ac:dyDescent="0.2">
      <c r="A65" s="1"/>
      <c r="B65" s="1"/>
      <c r="C65" s="27">
        <v>9</v>
      </c>
      <c r="D65" s="24" t="str" cm="1">
        <f t="array" ref="D65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5" s="25" t="str">
        <f t="shared" si="3"/>
        <v/>
      </c>
      <c r="F65" s="24" t="str" cm="1">
        <f t="array" ref="F65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5" s="1"/>
    </row>
    <row r="66" spans="1:7" x14ac:dyDescent="0.2">
      <c r="A66" s="1"/>
      <c r="B66" s="1"/>
      <c r="C66" s="27">
        <v>10</v>
      </c>
      <c r="D66" s="24" t="str" cm="1">
        <f t="array" ref="D66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6" s="25" t="str">
        <f t="shared" si="3"/>
        <v/>
      </c>
      <c r="F66" s="24" t="str" cm="1">
        <f t="array" ref="F66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6" s="1"/>
    </row>
    <row r="67" spans="1:7" x14ac:dyDescent="0.2">
      <c r="A67" s="1"/>
      <c r="B67" s="1"/>
      <c r="C67" s="27">
        <v>11</v>
      </c>
      <c r="D67" s="24" t="str" cm="1">
        <f t="array" ref="D67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7" s="25" t="str">
        <f t="shared" si="3"/>
        <v/>
      </c>
      <c r="F67" s="24" t="str" cm="1">
        <f t="array" ref="F67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7" s="1"/>
    </row>
    <row r="68" spans="1:7" x14ac:dyDescent="0.2">
      <c r="A68" s="1"/>
      <c r="B68" s="1"/>
      <c r="C68" s="27">
        <v>12</v>
      </c>
      <c r="D68" s="24" t="str" cm="1">
        <f t="array" ref="D68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8" s="25" t="str">
        <f t="shared" si="3"/>
        <v/>
      </c>
      <c r="F68" s="24" t="str" cm="1">
        <f t="array" ref="F68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8" s="1"/>
    </row>
    <row r="69" spans="1:7" x14ac:dyDescent="0.2">
      <c r="A69" s="1"/>
      <c r="B69" s="1"/>
      <c r="C69" s="27">
        <v>13</v>
      </c>
      <c r="D69" s="24" t="str" cm="1">
        <f t="array" ref="D69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69" s="25" t="str">
        <f t="shared" si="3"/>
        <v/>
      </c>
      <c r="F69" s="24" t="str" cm="1">
        <f t="array" ref="F69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69" s="1"/>
    </row>
    <row r="70" spans="1:7" x14ac:dyDescent="0.2">
      <c r="A70" s="1"/>
      <c r="B70" s="1"/>
      <c r="C70" s="27">
        <v>14</v>
      </c>
      <c r="D70" s="24" t="str" cm="1">
        <f t="array" ref="D70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70" s="25" t="str">
        <f t="shared" si="3"/>
        <v/>
      </c>
      <c r="F70" s="24" t="str" cm="1">
        <f t="array" ref="F70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70" s="1"/>
    </row>
    <row r="71" spans="1:7" ht="17" thickBot="1" x14ac:dyDescent="0.25">
      <c r="A71" s="1"/>
      <c r="B71" s="1"/>
      <c r="C71" s="28">
        <v>15</v>
      </c>
      <c r="D71" s="24" t="str" cm="1">
        <f t="array" ref="D71">IFERROR(
_xlfn.LET(
  _xlpm.IDs,_xlfn.ANCHORARRAY($A$2),
  _xlpm.ResAll,_xlfn.XLOOKUP(_xlpm.IDs,DataGames!$A$2:$A$99987,DataGames!$H$2:$H$99987,""),
  _xlpm.n,MIN(15,ROWS(_xlpm.ResAll)),
  _xlpm.Start,ROWS(_xlpm.ResAll)-_xlpm.n+1,
  _xlpm.Res,INDEX(_xlpm.ResAll,_xlfn.SEQUENCE(_xlpm.n,1,_xlpm.Start,1)),
  _xlpm.i,ROW()-57+1,
  IF(_xlpm.i&gt;_xlpm.n,"",INDEX(_xlpm.Res,_xlpm.i))
),
""
)</f>
        <v/>
      </c>
      <c r="E71" s="29" t="str">
        <f t="shared" si="3"/>
        <v/>
      </c>
      <c r="F71" s="24" t="str" cm="1">
        <f t="array" ref="F71">IFERROR(
_xlfn.LET(
  _xlpm.IDs,_xlfn.ANCHORARRAY($A$2),
  _xlpm.CatsAll,_xlfn.XLOOKUP(_xlpm.IDs,DataGames!$A$2:$A$99987,DataGames!$B$2:$B$99987,""),
  _xlpm.n,MIN(15,ROWS(_xlpm.CatsAll)),
  _xlpm.Start,ROWS(_xlpm.CatsAll)-_xlpm.n+1,
  _xlpm.Cats,INDEX(_xlpm.CatsAll,_xlfn.SEQUENCE(_xlpm.n,1,_xlpm.Start,1)),
  _xlpm.i,ROW()-ROW($F$57)+1,
  IF(_xlpm.i&gt;_xlpm.n,"",INDEX(_xlpm.Cats,_xlpm.i))
),
""
)</f>
        <v/>
      </c>
      <c r="G71" s="1"/>
    </row>
  </sheetData>
  <mergeCells count="80">
    <mergeCell ref="F51:F52"/>
    <mergeCell ref="C22:D22"/>
    <mergeCell ref="E46:E47"/>
    <mergeCell ref="E51:E52"/>
    <mergeCell ref="C5:D5"/>
    <mergeCell ref="C20:D20"/>
    <mergeCell ref="C26:D26"/>
    <mergeCell ref="D49:D50"/>
    <mergeCell ref="E44:E45"/>
    <mergeCell ref="C24:D24"/>
    <mergeCell ref="C15:D15"/>
    <mergeCell ref="C19:D19"/>
    <mergeCell ref="D51:D52"/>
    <mergeCell ref="F41:F42"/>
    <mergeCell ref="D39:D40"/>
    <mergeCell ref="C49:C52"/>
    <mergeCell ref="C2:J2"/>
    <mergeCell ref="D41:D42"/>
    <mergeCell ref="C23:D23"/>
    <mergeCell ref="G33:G34"/>
    <mergeCell ref="C14:D14"/>
    <mergeCell ref="E41:E42"/>
    <mergeCell ref="C17:D17"/>
    <mergeCell ref="J33:J34"/>
    <mergeCell ref="C8:D8"/>
    <mergeCell ref="C13:D13"/>
    <mergeCell ref="H30:H31"/>
    <mergeCell ref="H33:H34"/>
    <mergeCell ref="C7:D7"/>
    <mergeCell ref="C3:D3"/>
    <mergeCell ref="C12:D12"/>
    <mergeCell ref="C11:D11"/>
    <mergeCell ref="F49:F50"/>
    <mergeCell ref="C18:D18"/>
    <mergeCell ref="D44:D45"/>
    <mergeCell ref="C28:E28"/>
    <mergeCell ref="C21:D21"/>
    <mergeCell ref="F44:F45"/>
    <mergeCell ref="C39:C42"/>
    <mergeCell ref="D46:D47"/>
    <mergeCell ref="E49:E50"/>
    <mergeCell ref="F39:F40"/>
    <mergeCell ref="C25:D25"/>
    <mergeCell ref="D43:E43"/>
    <mergeCell ref="C44:C47"/>
    <mergeCell ref="F46:F47"/>
    <mergeCell ref="C4:D4"/>
    <mergeCell ref="J30:J31"/>
    <mergeCell ref="C9:D9"/>
    <mergeCell ref="J28:J29"/>
    <mergeCell ref="J35:J36"/>
    <mergeCell ref="C10:D10"/>
    <mergeCell ref="C33:C34"/>
    <mergeCell ref="C30:C31"/>
    <mergeCell ref="E30:E31"/>
    <mergeCell ref="C16:D16"/>
    <mergeCell ref="G28:H28"/>
    <mergeCell ref="G30:G31"/>
    <mergeCell ref="H36:H37"/>
    <mergeCell ref="D33:D34"/>
    <mergeCell ref="G36:G37"/>
    <mergeCell ref="H39:H40"/>
    <mergeCell ref="H41:H42"/>
    <mergeCell ref="J39:J40"/>
    <mergeCell ref="J41:J42"/>
    <mergeCell ref="C6:D6"/>
    <mergeCell ref="D30:D31"/>
    <mergeCell ref="E39:E40"/>
    <mergeCell ref="H46:H47"/>
    <mergeCell ref="I46:I47"/>
    <mergeCell ref="J46:J47"/>
    <mergeCell ref="H51:H52"/>
    <mergeCell ref="I51:I52"/>
    <mergeCell ref="J51:J52"/>
    <mergeCell ref="H61:H62"/>
    <mergeCell ref="I61:I62"/>
    <mergeCell ref="J61:J62"/>
    <mergeCell ref="H56:H57"/>
    <mergeCell ref="I56:I57"/>
    <mergeCell ref="J56:J57"/>
  </mergeCells>
  <conditionalFormatting sqref="C39:D39">
    <cfRule type="containsText" dxfId="9" priority="3" operator="containsText" text="Gold">
      <formula>NOT(ISERROR(SEARCH(("Gold"),(C39))))</formula>
    </cfRule>
    <cfRule type="containsText" dxfId="8" priority="4" operator="containsText" text="Silver">
      <formula>NOT(ISERROR(SEARCH(("Silver"),(C39))))</formula>
    </cfRule>
    <cfRule type="containsText" dxfId="7" priority="5" operator="containsText" text="Bronze">
      <formula>NOT(ISERROR(SEARCH(("Bronze"),(C39))))</formula>
    </cfRule>
  </conditionalFormatting>
  <conditionalFormatting sqref="D57:D71">
    <cfRule type="cellIs" dxfId="6" priority="1" operator="equal">
      <formula>"Draw"</formula>
    </cfRule>
    <cfRule type="cellIs" dxfId="5" priority="2" stopIfTrue="1" operator="equal">
      <formula>"Loss"</formula>
    </cfRule>
  </conditionalFormatting>
  <conditionalFormatting sqref="F4:F14 F16:F22 F24:F26">
    <cfRule type="expression" dxfId="4" priority="8">
      <formula>F4=MAX($F$4:$F$16)</formula>
    </cfRule>
  </conditionalFormatting>
  <conditionalFormatting sqref="G4:G14 G16:G22 G24:G26">
    <cfRule type="expression" dxfId="3" priority="9">
      <formula>G4=MAX($G$4:$G$14)</formula>
    </cfRule>
  </conditionalFormatting>
  <conditionalFormatting sqref="H4:H14 H16:H22 H24:H26">
    <cfRule type="expression" dxfId="2" priority="10">
      <formula>H4=MAX($H$4:$H$14)</formula>
    </cfRule>
  </conditionalFormatting>
  <conditionalFormatting sqref="I4:I14 I16:I22 I24:I26">
    <cfRule type="expression" dxfId="1" priority="11">
      <formula>I4=MAX($I$4:$I$14)</formula>
    </cfRule>
  </conditionalFormatting>
  <conditionalFormatting sqref="J4:J14 J16:J22 J24:J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2">
    <dataValidation type="list" allowBlank="1" showInputMessage="1" showErrorMessage="1" sqref="M5" xr:uid="{00000000-0002-0000-0000-000000000000}">
      <formula1>"all,SquadBattles,Rivals,WeekendLeague / Champions,Live Event"</formula1>
    </dataValidation>
    <dataValidation type="list" allowBlank="1" showInputMessage="1" sqref="M6" xr:uid="{F8EBE64D-AB56-934C-963B-D2C3C2FF886E}">
      <formula1>"all,5,10,15,18,30"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8"/>
  <sheetViews>
    <sheetView workbookViewId="0">
      <selection activeCell="G3" sqref="G3"/>
    </sheetView>
  </sheetViews>
  <sheetFormatPr baseColWidth="10" defaultRowHeight="16" x14ac:dyDescent="0.2"/>
  <cols>
    <col min="2" max="2" width="12.6640625" bestFit="1" customWidth="1"/>
    <col min="3" max="3" width="13" bestFit="1" customWidth="1"/>
    <col min="4" max="4" width="15.1640625" bestFit="1" customWidth="1"/>
    <col min="7" max="7" width="15" bestFit="1" customWidth="1"/>
    <col min="8" max="8" width="15" customWidth="1"/>
    <col min="13" max="13" width="14.1640625" bestFit="1" customWidth="1"/>
    <col min="14" max="14" width="14.1640625" customWidth="1"/>
    <col min="21" max="21" width="19.5" bestFit="1" customWidth="1"/>
  </cols>
  <sheetData>
    <row r="1" spans="1:28" x14ac:dyDescent="0.2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50</v>
      </c>
      <c r="P1" t="s">
        <v>110</v>
      </c>
      <c r="Q1" t="s">
        <v>111</v>
      </c>
      <c r="R1" t="s">
        <v>112</v>
      </c>
      <c r="S1" t="s">
        <v>113</v>
      </c>
      <c r="T1" t="s">
        <v>114</v>
      </c>
      <c r="U1" t="s">
        <v>115</v>
      </c>
      <c r="V1" t="s">
        <v>116</v>
      </c>
      <c r="W1" t="s">
        <v>117</v>
      </c>
      <c r="X1" t="s">
        <v>118</v>
      </c>
      <c r="Y1" t="s">
        <v>119</v>
      </c>
      <c r="Z1" t="s">
        <v>51</v>
      </c>
      <c r="AA1" t="s">
        <v>120</v>
      </c>
      <c r="AB1" t="s">
        <v>121</v>
      </c>
    </row>
    <row r="2" spans="1:28" x14ac:dyDescent="0.2">
      <c r="A2" t="s">
        <v>52</v>
      </c>
      <c r="B2" t="s">
        <v>53</v>
      </c>
      <c r="C2" s="18">
        <v>46016</v>
      </c>
      <c r="D2">
        <v>5</v>
      </c>
      <c r="E2">
        <v>5</v>
      </c>
      <c r="F2" t="s">
        <v>54</v>
      </c>
      <c r="G2" t="s">
        <v>74</v>
      </c>
      <c r="H2" t="s">
        <v>75</v>
      </c>
      <c r="I2" t="s">
        <v>55</v>
      </c>
      <c r="J2">
        <v>0.52</v>
      </c>
      <c r="K2">
        <v>9</v>
      </c>
      <c r="M2">
        <v>0.89</v>
      </c>
      <c r="O2">
        <v>2.2999999999999998</v>
      </c>
      <c r="Q2">
        <v>200</v>
      </c>
      <c r="S2">
        <v>0.87</v>
      </c>
      <c r="U2">
        <v>0.96</v>
      </c>
      <c r="V2">
        <v>0</v>
      </c>
      <c r="W2">
        <v>0</v>
      </c>
      <c r="Z2" t="s">
        <v>56</v>
      </c>
    </row>
    <row r="3" spans="1:28" x14ac:dyDescent="0.2">
      <c r="C3" s="18"/>
    </row>
    <row r="4" spans="1:28" x14ac:dyDescent="0.2">
      <c r="C4" s="18"/>
      <c r="Y4" s="19"/>
    </row>
    <row r="5" spans="1:28" x14ac:dyDescent="0.2">
      <c r="C5" s="18"/>
    </row>
    <row r="6" spans="1:28" x14ac:dyDescent="0.2">
      <c r="C6" s="18"/>
      <c r="Y6" s="19"/>
    </row>
    <row r="7" spans="1:28" x14ac:dyDescent="0.2">
      <c r="C7" s="18"/>
      <c r="Y7" s="19"/>
    </row>
    <row r="8" spans="1:28" x14ac:dyDescent="0.2">
      <c r="C8" s="18"/>
    </row>
    <row r="9" spans="1:28" x14ac:dyDescent="0.2">
      <c r="C9" s="18"/>
    </row>
    <row r="10" spans="1:28" x14ac:dyDescent="0.2">
      <c r="C10" s="18"/>
    </row>
    <row r="11" spans="1:28" x14ac:dyDescent="0.2">
      <c r="C11" s="18"/>
    </row>
    <row r="12" spans="1:28" x14ac:dyDescent="0.2">
      <c r="C12" s="18"/>
      <c r="Y12" s="19"/>
    </row>
    <row r="13" spans="1:28" x14ac:dyDescent="0.2">
      <c r="C13" s="18"/>
      <c r="Y13" s="19"/>
    </row>
    <row r="14" spans="1:28" x14ac:dyDescent="0.2">
      <c r="C14" s="18"/>
    </row>
    <row r="15" spans="1:28" x14ac:dyDescent="0.2">
      <c r="C15" s="18"/>
    </row>
    <row r="16" spans="1:28" x14ac:dyDescent="0.2">
      <c r="C16" s="18"/>
    </row>
    <row r="17" spans="3:25" x14ac:dyDescent="0.2">
      <c r="C17" s="18"/>
    </row>
    <row r="18" spans="3:25" x14ac:dyDescent="0.2">
      <c r="C18" s="18"/>
    </row>
    <row r="19" spans="3:25" x14ac:dyDescent="0.2">
      <c r="C19" s="18"/>
      <c r="Y19" s="19"/>
    </row>
    <row r="20" spans="3:25" x14ac:dyDescent="0.2">
      <c r="C20" s="18"/>
      <c r="Y20" s="19"/>
    </row>
    <row r="21" spans="3:25" x14ac:dyDescent="0.2">
      <c r="C21" s="18"/>
      <c r="Y21" s="19"/>
    </row>
    <row r="22" spans="3:25" x14ac:dyDescent="0.2">
      <c r="C22" s="18"/>
    </row>
    <row r="23" spans="3:25" x14ac:dyDescent="0.2">
      <c r="C23" s="18"/>
    </row>
    <row r="24" spans="3:25" x14ac:dyDescent="0.2">
      <c r="C24" s="18"/>
    </row>
    <row r="25" spans="3:25" x14ac:dyDescent="0.2">
      <c r="C25" s="18"/>
    </row>
    <row r="26" spans="3:25" x14ac:dyDescent="0.2">
      <c r="C26" s="18"/>
    </row>
    <row r="27" spans="3:25" x14ac:dyDescent="0.2">
      <c r="C27" s="18"/>
    </row>
    <row r="28" spans="3:25" x14ac:dyDescent="0.2">
      <c r="C28" s="18"/>
    </row>
    <row r="29" spans="3:25" x14ac:dyDescent="0.2">
      <c r="C29" s="18"/>
    </row>
    <row r="30" spans="3:25" x14ac:dyDescent="0.2">
      <c r="C30" s="18"/>
    </row>
    <row r="31" spans="3:25" x14ac:dyDescent="0.2">
      <c r="C31" s="18"/>
    </row>
    <row r="32" spans="3:25" x14ac:dyDescent="0.2">
      <c r="C32" s="18"/>
    </row>
    <row r="33" spans="1:28" x14ac:dyDescent="0.2">
      <c r="A33" s="30"/>
      <c r="B33" s="30"/>
      <c r="C33" s="48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49"/>
      <c r="Z33" s="30"/>
      <c r="AA33" s="30"/>
      <c r="AB33" s="30"/>
    </row>
    <row r="34" spans="1:28" x14ac:dyDescent="0.2">
      <c r="C34" s="18"/>
    </row>
    <row r="35" spans="1:28" x14ac:dyDescent="0.2">
      <c r="C35" s="18"/>
    </row>
    <row r="36" spans="1:28" x14ac:dyDescent="0.2">
      <c r="C36" s="18"/>
    </row>
    <row r="37" spans="1:28" x14ac:dyDescent="0.2">
      <c r="C37" s="18"/>
    </row>
    <row r="38" spans="1:28" x14ac:dyDescent="0.2">
      <c r="C38" s="18"/>
    </row>
    <row r="39" spans="1:28" x14ac:dyDescent="0.2">
      <c r="C39" s="18"/>
    </row>
    <row r="40" spans="1:28" x14ac:dyDescent="0.2">
      <c r="C40" s="18"/>
    </row>
    <row r="41" spans="1:28" x14ac:dyDescent="0.2">
      <c r="C41" s="18"/>
      <c r="Y41" s="19"/>
    </row>
    <row r="42" spans="1:28" x14ac:dyDescent="0.2">
      <c r="C42" s="18"/>
      <c r="Y42" s="19"/>
    </row>
    <row r="43" spans="1:28" x14ac:dyDescent="0.2">
      <c r="C43" s="18"/>
      <c r="Y43" s="19"/>
    </row>
    <row r="44" spans="1:28" x14ac:dyDescent="0.2">
      <c r="C44" s="18"/>
      <c r="Y44" s="19"/>
    </row>
    <row r="45" spans="1:28" x14ac:dyDescent="0.2">
      <c r="C45" s="18"/>
      <c r="Y45" s="19"/>
    </row>
    <row r="46" spans="1:28" x14ac:dyDescent="0.2">
      <c r="C46" s="18"/>
      <c r="Y46" s="19"/>
    </row>
    <row r="47" spans="1:28" x14ac:dyDescent="0.2">
      <c r="C47" s="18"/>
      <c r="Y47" s="19"/>
    </row>
    <row r="48" spans="1:28" x14ac:dyDescent="0.2">
      <c r="C48" s="18"/>
      <c r="Y48" s="19"/>
    </row>
    <row r="49" spans="3:25" x14ac:dyDescent="0.2">
      <c r="C49" s="18"/>
      <c r="Y49" s="19"/>
    </row>
    <row r="50" spans="3:25" x14ac:dyDescent="0.2">
      <c r="C50" s="18"/>
      <c r="Y50" s="19"/>
    </row>
    <row r="51" spans="3:25" x14ac:dyDescent="0.2">
      <c r="C51" s="18"/>
      <c r="Y51" s="19"/>
    </row>
    <row r="52" spans="3:25" x14ac:dyDescent="0.2">
      <c r="C52" s="18"/>
      <c r="Y52" s="19"/>
    </row>
    <row r="53" spans="3:25" x14ac:dyDescent="0.2">
      <c r="C53" s="18"/>
      <c r="Y53" s="19"/>
    </row>
    <row r="54" spans="3:25" x14ac:dyDescent="0.2">
      <c r="C54" s="18"/>
      <c r="Y54" s="19"/>
    </row>
    <row r="55" spans="3:25" x14ac:dyDescent="0.2">
      <c r="C55" s="18"/>
      <c r="Y55" s="19"/>
    </row>
    <row r="56" spans="3:25" x14ac:dyDescent="0.2">
      <c r="C56" s="18"/>
      <c r="Y56" s="19"/>
    </row>
    <row r="57" spans="3:25" x14ac:dyDescent="0.2">
      <c r="C57" s="18"/>
      <c r="Y57" s="19"/>
    </row>
    <row r="58" spans="3:25" x14ac:dyDescent="0.2">
      <c r="C58" s="18"/>
      <c r="Y58" s="19"/>
    </row>
    <row r="59" spans="3:25" x14ac:dyDescent="0.2">
      <c r="C59" s="18"/>
      <c r="Y59" s="19"/>
    </row>
    <row r="60" spans="3:25" x14ac:dyDescent="0.2">
      <c r="C60" s="18"/>
      <c r="Y60" s="19"/>
    </row>
    <row r="61" spans="3:25" x14ac:dyDescent="0.2">
      <c r="C61" s="18"/>
      <c r="Y61" s="19"/>
    </row>
    <row r="62" spans="3:25" x14ac:dyDescent="0.2">
      <c r="C62" s="18"/>
    </row>
    <row r="63" spans="3:25" x14ac:dyDescent="0.2">
      <c r="C63" s="18"/>
    </row>
    <row r="64" spans="3:25" x14ac:dyDescent="0.2">
      <c r="C64" s="18"/>
    </row>
    <row r="65" spans="3:25" x14ac:dyDescent="0.2">
      <c r="C65" s="18"/>
      <c r="Y65" s="19"/>
    </row>
    <row r="66" spans="3:25" x14ac:dyDescent="0.2">
      <c r="C66" s="18"/>
      <c r="Y66" s="19"/>
    </row>
    <row r="67" spans="3:25" x14ac:dyDescent="0.2">
      <c r="C67" s="18"/>
      <c r="Y67" s="19"/>
    </row>
    <row r="68" spans="3:25" x14ac:dyDescent="0.2">
      <c r="C68" s="18"/>
      <c r="Y68" s="19"/>
    </row>
  </sheetData>
  <conditionalFormatting sqref="A1:A1048576">
    <cfRule type="duplicateValues" dxfId="0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2"/>
  <sheetViews>
    <sheetView workbookViewId="0">
      <selection activeCell="C28" sqref="C28"/>
    </sheetView>
  </sheetViews>
  <sheetFormatPr baseColWidth="10" defaultRowHeight="16" x14ac:dyDescent="0.2"/>
  <cols>
    <col min="2" max="2" width="12.6640625" bestFit="1" customWidth="1"/>
    <col min="5" max="5" width="10.83203125" style="31"/>
  </cols>
  <sheetData>
    <row r="1" spans="1:9" x14ac:dyDescent="0.2">
      <c r="A1" t="s">
        <v>96</v>
      </c>
      <c r="B1" t="s">
        <v>97</v>
      </c>
      <c r="C1" t="s">
        <v>57</v>
      </c>
      <c r="D1" t="s">
        <v>58</v>
      </c>
      <c r="E1" t="s">
        <v>122</v>
      </c>
      <c r="F1" t="s">
        <v>3</v>
      </c>
      <c r="G1" t="s">
        <v>4</v>
      </c>
      <c r="H1" t="s">
        <v>6</v>
      </c>
      <c r="I1" t="s">
        <v>121</v>
      </c>
    </row>
    <row r="2" spans="1:9" x14ac:dyDescent="0.2">
      <c r="A2" t="s">
        <v>52</v>
      </c>
      <c r="B2" t="s">
        <v>53</v>
      </c>
      <c r="C2" t="s">
        <v>20</v>
      </c>
      <c r="D2" t="s">
        <v>59</v>
      </c>
      <c r="E2" s="31">
        <v>6.5</v>
      </c>
      <c r="F2">
        <v>0</v>
      </c>
      <c r="G2">
        <v>0</v>
      </c>
      <c r="H2" s="17"/>
    </row>
    <row r="3" spans="1:9" x14ac:dyDescent="0.2">
      <c r="A3" t="s">
        <v>52</v>
      </c>
      <c r="B3" t="s">
        <v>53</v>
      </c>
      <c r="C3" t="s">
        <v>8</v>
      </c>
      <c r="D3" t="s">
        <v>59</v>
      </c>
      <c r="E3" s="31">
        <v>9.4</v>
      </c>
      <c r="F3">
        <v>1</v>
      </c>
      <c r="G3">
        <v>3</v>
      </c>
      <c r="H3" s="17" t="s">
        <v>60</v>
      </c>
    </row>
    <row r="4" spans="1:9" x14ac:dyDescent="0.2">
      <c r="A4" t="s">
        <v>52</v>
      </c>
      <c r="B4" t="s">
        <v>53</v>
      </c>
      <c r="C4" t="s">
        <v>21</v>
      </c>
      <c r="D4" t="s">
        <v>61</v>
      </c>
      <c r="E4" s="31">
        <v>5.7</v>
      </c>
      <c r="F4">
        <v>0</v>
      </c>
      <c r="G4">
        <v>0</v>
      </c>
      <c r="H4" s="17"/>
    </row>
    <row r="5" spans="1:9" x14ac:dyDescent="0.2">
      <c r="A5" t="s">
        <v>52</v>
      </c>
      <c r="B5" t="s">
        <v>53</v>
      </c>
      <c r="C5" t="s">
        <v>9</v>
      </c>
      <c r="D5" t="s">
        <v>61</v>
      </c>
      <c r="E5" s="31">
        <v>8.5</v>
      </c>
      <c r="F5">
        <v>2</v>
      </c>
      <c r="G5">
        <v>0</v>
      </c>
      <c r="H5" s="17"/>
    </row>
    <row r="6" spans="1:9" x14ac:dyDescent="0.2">
      <c r="A6" t="s">
        <v>52</v>
      </c>
      <c r="B6" t="s">
        <v>53</v>
      </c>
      <c r="C6" t="s">
        <v>22</v>
      </c>
      <c r="D6" t="s">
        <v>62</v>
      </c>
      <c r="E6" s="31">
        <v>6.2</v>
      </c>
      <c r="F6">
        <v>0</v>
      </c>
      <c r="G6">
        <v>0</v>
      </c>
      <c r="H6" s="17"/>
    </row>
    <row r="7" spans="1:9" x14ac:dyDescent="0.2">
      <c r="A7" t="s">
        <v>52</v>
      </c>
      <c r="B7" t="s">
        <v>53</v>
      </c>
      <c r="C7" t="s">
        <v>10</v>
      </c>
      <c r="D7" t="s">
        <v>62</v>
      </c>
      <c r="E7" s="31">
        <v>7.1</v>
      </c>
      <c r="F7">
        <v>0</v>
      </c>
      <c r="G7">
        <v>1</v>
      </c>
      <c r="H7" s="17"/>
    </row>
    <row r="8" spans="1:9" x14ac:dyDescent="0.2">
      <c r="A8" t="s">
        <v>52</v>
      </c>
      <c r="B8" t="s">
        <v>53</v>
      </c>
      <c r="C8" t="s">
        <v>13</v>
      </c>
      <c r="D8" t="s">
        <v>63</v>
      </c>
      <c r="E8" s="31">
        <v>7.3</v>
      </c>
      <c r="F8">
        <v>0</v>
      </c>
      <c r="G8">
        <v>0</v>
      </c>
      <c r="H8" s="17"/>
    </row>
    <row r="9" spans="1:9" x14ac:dyDescent="0.2">
      <c r="A9" t="s">
        <v>52</v>
      </c>
      <c r="B9" t="s">
        <v>53</v>
      </c>
      <c r="C9" t="s">
        <v>12</v>
      </c>
      <c r="D9" t="s">
        <v>64</v>
      </c>
      <c r="E9" s="31">
        <v>6.7</v>
      </c>
      <c r="F9">
        <v>0</v>
      </c>
      <c r="G9">
        <v>0</v>
      </c>
      <c r="H9" s="17"/>
    </row>
    <row r="10" spans="1:9" x14ac:dyDescent="0.2">
      <c r="A10" t="s">
        <v>52</v>
      </c>
      <c r="B10" t="s">
        <v>53</v>
      </c>
      <c r="C10" t="s">
        <v>23</v>
      </c>
      <c r="D10" t="s">
        <v>65</v>
      </c>
      <c r="E10" s="31">
        <v>6.8</v>
      </c>
      <c r="F10">
        <v>0</v>
      </c>
      <c r="G10">
        <v>0</v>
      </c>
      <c r="H10" s="17"/>
    </row>
    <row r="11" spans="1:9" x14ac:dyDescent="0.2">
      <c r="A11" t="s">
        <v>52</v>
      </c>
      <c r="B11" t="s">
        <v>53</v>
      </c>
      <c r="C11" t="s">
        <v>11</v>
      </c>
      <c r="D11" t="s">
        <v>65</v>
      </c>
      <c r="E11" s="31">
        <v>8.3000000000000007</v>
      </c>
      <c r="F11">
        <v>2</v>
      </c>
      <c r="G11">
        <v>1</v>
      </c>
      <c r="H11" s="17"/>
    </row>
    <row r="12" spans="1:9" x14ac:dyDescent="0.2">
      <c r="A12" t="s">
        <v>52</v>
      </c>
      <c r="B12" t="s">
        <v>53</v>
      </c>
      <c r="C12" t="s">
        <v>14</v>
      </c>
      <c r="D12" t="s">
        <v>66</v>
      </c>
      <c r="E12" s="31">
        <v>6.8</v>
      </c>
      <c r="F12">
        <v>0</v>
      </c>
      <c r="G12">
        <v>0</v>
      </c>
      <c r="H12" s="17"/>
    </row>
    <row r="13" spans="1:9" x14ac:dyDescent="0.2">
      <c r="A13" t="s">
        <v>52</v>
      </c>
      <c r="B13" t="s">
        <v>53</v>
      </c>
      <c r="C13" t="s">
        <v>28</v>
      </c>
      <c r="D13" t="s">
        <v>67</v>
      </c>
      <c r="E13" s="31">
        <v>6.8</v>
      </c>
      <c r="F13">
        <v>0</v>
      </c>
      <c r="G13">
        <v>0</v>
      </c>
      <c r="H13" s="17"/>
    </row>
    <row r="14" spans="1:9" x14ac:dyDescent="0.2">
      <c r="A14" t="s">
        <v>52</v>
      </c>
      <c r="B14" t="s">
        <v>53</v>
      </c>
      <c r="C14" t="s">
        <v>16</v>
      </c>
      <c r="D14" t="s">
        <v>68</v>
      </c>
      <c r="E14" s="31">
        <v>7.7</v>
      </c>
      <c r="F14">
        <v>0</v>
      </c>
      <c r="G14">
        <v>0</v>
      </c>
      <c r="H14" s="17"/>
    </row>
    <row r="15" spans="1:9" x14ac:dyDescent="0.2">
      <c r="A15" t="s">
        <v>52</v>
      </c>
      <c r="B15" t="s">
        <v>53</v>
      </c>
      <c r="C15" t="s">
        <v>17</v>
      </c>
      <c r="D15" t="s">
        <v>69</v>
      </c>
      <c r="E15" s="31">
        <v>6.5</v>
      </c>
      <c r="F15">
        <v>0</v>
      </c>
      <c r="G15">
        <v>0</v>
      </c>
      <c r="H15" s="17"/>
    </row>
    <row r="16" spans="1:9" x14ac:dyDescent="0.2">
      <c r="A16" t="s">
        <v>52</v>
      </c>
      <c r="B16" t="s">
        <v>53</v>
      </c>
      <c r="C16" t="s">
        <v>18</v>
      </c>
      <c r="D16" t="s">
        <v>70</v>
      </c>
      <c r="E16" s="31">
        <v>4</v>
      </c>
      <c r="F16">
        <v>0</v>
      </c>
      <c r="G16">
        <v>0</v>
      </c>
      <c r="H16" s="17"/>
    </row>
    <row r="17" spans="1:9" x14ac:dyDescent="0.2">
      <c r="A17" t="s">
        <v>52</v>
      </c>
      <c r="B17" t="s">
        <v>53</v>
      </c>
      <c r="C17" t="s">
        <v>25</v>
      </c>
      <c r="D17" t="s">
        <v>71</v>
      </c>
      <c r="F17">
        <v>0</v>
      </c>
      <c r="G17">
        <v>0</v>
      </c>
      <c r="H17" s="17"/>
      <c r="I17" t="s">
        <v>72</v>
      </c>
    </row>
    <row r="18" spans="1:9" x14ac:dyDescent="0.2">
      <c r="A18" t="s">
        <v>52</v>
      </c>
      <c r="B18" t="s">
        <v>53</v>
      </c>
      <c r="C18" t="s">
        <v>26</v>
      </c>
      <c r="D18" t="s">
        <v>71</v>
      </c>
      <c r="F18">
        <v>0</v>
      </c>
      <c r="G18">
        <v>0</v>
      </c>
      <c r="I18" t="s">
        <v>72</v>
      </c>
    </row>
    <row r="19" spans="1:9" x14ac:dyDescent="0.2">
      <c r="A19" t="s">
        <v>52</v>
      </c>
      <c r="B19" t="s">
        <v>53</v>
      </c>
      <c r="C19" t="s">
        <v>24</v>
      </c>
      <c r="D19" t="s">
        <v>71</v>
      </c>
      <c r="F19">
        <v>0</v>
      </c>
      <c r="G19">
        <v>0</v>
      </c>
      <c r="I19" t="s">
        <v>72</v>
      </c>
    </row>
    <row r="362" spans="1:1" x14ac:dyDescent="0.2">
      <c r="A362" s="30"/>
    </row>
  </sheetData>
  <autoFilter ref="A1:I1114" xr:uid="{00000000-0001-0000-0200-000000000000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5887-978D-6B4B-9E55-5958A1BBF089}">
  <dimension ref="B2:D4"/>
  <sheetViews>
    <sheetView workbookViewId="0">
      <selection activeCell="B5" sqref="B5"/>
    </sheetView>
  </sheetViews>
  <sheetFormatPr baseColWidth="10" defaultRowHeight="16" x14ac:dyDescent="0.2"/>
  <sheetData>
    <row r="2" spans="2:4" x14ac:dyDescent="0.2">
      <c r="B2" t="s">
        <v>123</v>
      </c>
    </row>
    <row r="3" spans="2:4" x14ac:dyDescent="0.2">
      <c r="B3" t="s">
        <v>124</v>
      </c>
      <c r="D3" s="56" t="s">
        <v>125</v>
      </c>
    </row>
    <row r="4" spans="2:4" x14ac:dyDescent="0.2">
      <c r="B4" t="s">
        <v>126</v>
      </c>
    </row>
  </sheetData>
  <hyperlinks>
    <hyperlink ref="D3" r:id="rId1" xr:uid="{F106DB66-E49E-0C42-9063-AACEB4C3B7E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Dashboard</vt:lpstr>
      <vt:lpstr>DataGames</vt:lpstr>
      <vt:lpstr>DataPlayer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Zuphael</dc:creator>
  <cp:keywords/>
  <dc:description/>
  <cp:lastModifiedBy>Kay Puppa</cp:lastModifiedBy>
  <dcterms:created xsi:type="dcterms:W3CDTF">2025-12-23T19:07:29Z</dcterms:created>
  <dcterms:modified xsi:type="dcterms:W3CDTF">2026-01-05T16:06:40Z</dcterms:modified>
  <cp:category/>
</cp:coreProperties>
</file>