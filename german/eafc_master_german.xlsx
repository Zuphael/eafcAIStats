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800" yWindow="4180" windowWidth="36000" windowHeight="24620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ataSpiele" sheetId="2" state="visible" r:id="rId2"/>
    <sheet xmlns:r="http://schemas.openxmlformats.org/officeDocument/2006/relationships" name="DataSpieler" sheetId="3" state="visible" r:id="rId3"/>
  </sheets>
  <definedNames>
    <definedName name="_xlnm._FilterDatabase" localSheetId="1" hidden="1">'DataSpiele'!$A$1:$AK$121</definedName>
    <definedName name="_xlnm._FilterDatabase" localSheetId="2" hidden="1">'DataSpieler'!$A$1:$I$2077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rial"/>
      <family val="2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Arial"/>
      <family val="2"/>
      <b val="1"/>
      <color theme="1"/>
      <sz val="11"/>
    </font>
    <font>
      <name val="Arial"/>
      <family val="2"/>
      <b val="1"/>
      <color theme="1"/>
      <sz val="14"/>
    </font>
    <font>
      <name val="Arial"/>
      <family val="2"/>
      <color theme="0"/>
      <sz val="10"/>
    </font>
    <font>
      <name val="Aptos Narrow"/>
      <family val="2"/>
      <b val="1"/>
      <color rgb="FF3F3F3F"/>
      <sz val="12"/>
      <scheme val="minor"/>
    </font>
    <font>
      <name val="Aptos Narrow"/>
      <family val="2"/>
      <color rgb="FF006100"/>
      <sz val="12"/>
      <scheme val="minor"/>
    </font>
    <font>
      <name val="Aptos Narrow"/>
      <family val="2"/>
      <color rgb="FF9C0006"/>
      <sz val="12"/>
      <scheme val="minor"/>
    </font>
    <font>
      <name val="Aptos Narrow"/>
      <family val="2"/>
      <sz val="8"/>
      <scheme val="minor"/>
    </font>
  </fonts>
  <fills count="21">
    <fill>
      <patternFill/>
    </fill>
    <fill>
      <patternFill patternType="gray125"/>
    </fill>
    <fill>
      <patternFill patternType="solid">
        <fgColor rgb="FFD2F1DA"/>
        <bgColor rgb="FFD2F1DA"/>
      </patternFill>
    </fill>
    <fill>
      <patternFill patternType="solid">
        <fgColor rgb="FFFF9900"/>
        <bgColor rgb="FFFF9900"/>
      </patternFill>
    </fill>
    <fill>
      <patternFill patternType="solid">
        <fgColor rgb="FFB4E4E8"/>
        <bgColor rgb="FFB4E4E8"/>
      </patternFill>
    </fill>
    <fill>
      <patternFill patternType="solid">
        <fgColor rgb="FFFFE599"/>
        <bgColor rgb="FFFFE599"/>
      </patternFill>
    </fill>
    <fill>
      <patternFill patternType="solid">
        <fgColor rgb="FFD5A6BD"/>
        <bgColor rgb="FFD5A6BD"/>
      </patternFill>
    </fill>
    <fill>
      <patternFill patternType="solid">
        <fgColor rgb="FFF6B3AE"/>
        <bgColor rgb="FFF6B3AE"/>
      </patternFill>
    </fill>
    <fill>
      <patternFill patternType="solid">
        <fgColor rgb="FFA4C2F4"/>
        <bgColor rgb="FFA4C2F4"/>
      </patternFill>
    </fill>
    <fill>
      <patternFill patternType="solid">
        <fgColor rgb="FF8FD7DC"/>
        <bgColor rgb="FF8FD7DC"/>
      </patternFill>
    </fill>
    <fill>
      <patternFill patternType="solid">
        <fgColor rgb="FFD9D9D9"/>
        <bgColor rgb="FFD9D9D9"/>
      </patternFill>
    </fill>
    <fill>
      <patternFill patternType="solid">
        <fgColor rgb="FFF28E85"/>
        <bgColor rgb="FFF28E85"/>
      </patternFill>
    </fill>
    <fill>
      <patternFill patternType="solid">
        <fgColor rgb="FF7AD592"/>
        <bgColor rgb="FF7AD592"/>
      </patternFill>
    </fill>
    <fill>
      <patternFill patternType="solid">
        <fgColor theme="5"/>
        <bgColor theme="5"/>
      </patternFill>
    </fill>
    <fill>
      <patternFill patternType="solid">
        <fgColor rgb="FFFFC000"/>
        <bgColor theme="5"/>
      </patternFill>
    </fill>
    <fill>
      <patternFill patternType="solid">
        <fgColor rgb="FFEA7131"/>
        <bgColor rgb="FF7AD592"/>
      </patternFill>
    </fill>
    <fill>
      <patternFill patternType="solid">
        <fgColor rgb="FFEA7131"/>
        <bgColor indexed="64"/>
      </patternFill>
    </fill>
    <fill>
      <patternFill patternType="solid">
        <fgColor rgb="FFF2F2F2"/>
      </patternFill>
    </fill>
    <fill>
      <patternFill patternType="solid">
        <fgColor rgb="FF7AD59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51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rgb="FF000000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rgb="FF000000"/>
      </top>
      <bottom style="thick">
        <color rgb="FF000000"/>
      </bottom>
      <diagonal/>
    </border>
    <border>
      <left style="thick">
        <color indexed="64"/>
      </left>
      <right style="thick">
        <color indexed="64"/>
      </right>
      <top style="thick">
        <color rgb="FF000000"/>
      </top>
      <bottom style="thick">
        <color indexed="64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/>
      <bottom style="medium">
        <color indexed="64"/>
      </bottom>
      <diagonal/>
    </border>
    <border>
      <left/>
      <right style="thick">
        <color rgb="FF000000"/>
      </right>
      <top/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rgb="FF000000"/>
      </top>
      <bottom style="thin">
        <color indexed="64"/>
      </bottom>
      <diagonal/>
    </border>
    <border>
      <left style="medium">
        <color indexed="64"/>
      </left>
      <right/>
      <top style="thick">
        <color rgb="FF000000"/>
      </top>
      <bottom/>
      <diagonal/>
    </border>
    <border>
      <left style="medium">
        <color indexed="64"/>
      </left>
      <right/>
      <top/>
      <bottom style="thick">
        <color rgb="FF000000"/>
      </bottom>
      <diagonal/>
    </border>
    <border>
      <left style="thin">
        <color indexed="64"/>
      </left>
      <right style="thick">
        <color rgb="FF000000"/>
      </right>
      <top style="thick">
        <color rgb="FF000000"/>
      </top>
      <bottom/>
      <diagonal/>
    </border>
    <border>
      <left style="thin">
        <color indexed="64"/>
      </left>
      <right style="thick">
        <color rgb="FF000000"/>
      </right>
      <top/>
      <bottom style="thick">
        <color rgb="FF000000"/>
      </bottom>
      <diagonal/>
    </border>
    <border>
      <left style="thin">
        <color indexed="64"/>
      </left>
      <right style="thick">
        <color rgb="FF000000"/>
      </right>
      <top style="thick">
        <color rgb="FF000000"/>
      </top>
      <bottom style="thin">
        <color indexed="64"/>
      </bottom>
      <diagonal/>
    </border>
    <border>
      <left style="medium">
        <color indexed="64"/>
      </left>
      <right/>
      <top style="thick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rgb="FF000000"/>
      </top>
      <bottom/>
      <diagonal/>
    </border>
    <border>
      <left style="thick">
        <color indexed="64"/>
      </left>
      <right style="medium">
        <color indexed="64"/>
      </right>
      <top/>
      <bottom style="thick">
        <color rgb="FF000000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ck">
        <color indexed="64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indexed="64"/>
      </right>
      <top style="thick">
        <color rgb="FF000000"/>
      </top>
      <bottom style="thick">
        <color rgb="FF000000"/>
      </bottom>
      <diagonal/>
    </border>
    <border>
      <left style="thick">
        <color indexed="64"/>
      </left>
      <right style="medium">
        <color indexed="64"/>
      </right>
      <top style="thick">
        <color rgb="FF000000"/>
      </top>
      <bottom style="thick">
        <color rgb="FF000000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ck">
        <color rgb="FF000000"/>
      </top>
      <bottom style="thick">
        <color rgb="FF000000"/>
      </bottom>
      <diagonal/>
    </border>
    <border>
      <left style="medium">
        <color indexed="64"/>
      </left>
      <right/>
      <top/>
      <bottom/>
      <diagonal/>
    </border>
    <border>
      <left style="thick">
        <color rgb="FF000000"/>
      </left>
      <right/>
      <top/>
      <bottom/>
      <diagonal/>
    </border>
    <border>
      <left style="thin">
        <color indexed="64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ck">
        <color rgb="FF000000"/>
      </right>
      <top/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 style="thick">
        <color indexed="64"/>
      </right>
      <top style="thick">
        <color rgb="FF000000"/>
      </top>
      <bottom/>
      <diagonal/>
    </border>
  </borders>
  <cellStyleXfs count="5">
    <xf numFmtId="0" fontId="1" fillId="0" borderId="0"/>
    <xf numFmtId="9" fontId="1" fillId="0" borderId="0"/>
    <xf numFmtId="0" fontId="8" fillId="17" borderId="32"/>
    <xf numFmtId="0" fontId="9" fillId="19" borderId="0"/>
    <xf numFmtId="0" fontId="10" fillId="20" borderId="0"/>
  </cellStyleXfs>
  <cellXfs count="100">
    <xf numFmtId="0" fontId="0" fillId="0" borderId="0" pivotButton="0" quotePrefix="0" xfId="0"/>
    <xf numFmtId="0" fontId="2" fillId="0" borderId="0" pivotButton="0" quotePrefix="0" xfId="0"/>
    <xf numFmtId="0" fontId="3" fillId="4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center" vertical="center"/>
    </xf>
    <xf numFmtId="0" fontId="3" fillId="6" borderId="3" applyAlignment="1" pivotButton="0" quotePrefix="0" xfId="0">
      <alignment horizontal="center" vertical="center"/>
    </xf>
    <xf numFmtId="0" fontId="3" fillId="7" borderId="3" applyAlignment="1" pivotButton="0" quotePrefix="0" xfId="0">
      <alignment horizontal="center" vertical="center"/>
    </xf>
    <xf numFmtId="0" fontId="3" fillId="8" borderId="3" applyAlignment="1" pivotButton="0" quotePrefix="0" xfId="0">
      <alignment horizontal="center" vertical="center"/>
    </xf>
    <xf numFmtId="0" fontId="3" fillId="9" borderId="3" applyAlignment="1" pivotButton="0" quotePrefix="0" xfId="0">
      <alignment horizontal="center" vertical="center"/>
    </xf>
    <xf numFmtId="0" fontId="3" fillId="10" borderId="3" applyAlignment="1" pivotButton="0" quotePrefix="0" xfId="0">
      <alignment horizontal="center" vertical="center"/>
    </xf>
    <xf numFmtId="0" fontId="4" fillId="10" borderId="3" applyAlignment="1" pivotButton="0" quotePrefix="0" xfId="0">
      <alignment horizontal="center" vertical="center"/>
    </xf>
    <xf numFmtId="2" fontId="3" fillId="10" borderId="3" applyAlignment="1" pivotButton="0" quotePrefix="0" xfId="0">
      <alignment horizontal="center" vertical="center"/>
    </xf>
    <xf numFmtId="0" fontId="3" fillId="12" borderId="5" applyAlignment="1" pivotButton="0" quotePrefix="0" xfId="0">
      <alignment horizontal="center" vertical="center"/>
    </xf>
    <xf numFmtId="0" fontId="3" fillId="13" borderId="5" applyAlignment="1" pivotButton="0" quotePrefix="0" xfId="0">
      <alignment horizontal="center" vertical="center"/>
    </xf>
    <xf numFmtId="0" fontId="7" fillId="0" borderId="0" pivotButton="0" quotePrefix="0" xfId="0"/>
    <xf numFmtId="0" fontId="3" fillId="11" borderId="5" applyAlignment="1" pivotButton="0" quotePrefix="0" xfId="0">
      <alignment horizontal="center" vertical="center"/>
    </xf>
    <xf numFmtId="0" fontId="3" fillId="11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4" fontId="0" fillId="0" borderId="0" pivotButton="0" quotePrefix="0" xfId="0"/>
    <xf numFmtId="46" fontId="0" fillId="0" borderId="0" pivotButton="0" quotePrefix="0" xfId="0"/>
    <xf numFmtId="0" fontId="3" fillId="14" borderId="5" applyAlignment="1" pivotButton="0" quotePrefix="0" xfId="0">
      <alignment horizontal="center" vertical="center"/>
    </xf>
    <xf numFmtId="0" fontId="3" fillId="12" borderId="9" applyAlignment="1" pivotButton="0" quotePrefix="0" xfId="0">
      <alignment horizontal="left" vertical="center" indent="1"/>
    </xf>
    <xf numFmtId="0" fontId="3" fillId="12" borderId="9" applyAlignment="1" pivotButton="0" quotePrefix="0" xfId="0">
      <alignment horizontal="center" vertical="center"/>
    </xf>
    <xf numFmtId="0" fontId="3" fillId="12" borderId="8" applyAlignment="1" pivotButton="0" quotePrefix="0" xfId="0">
      <alignment horizontal="right" vertical="center" indent="1"/>
    </xf>
    <xf numFmtId="0" fontId="3" fillId="12" borderId="10" applyAlignment="1" pivotButton="0" quotePrefix="0" xfId="0">
      <alignment horizontal="right" vertical="center" indent="1"/>
    </xf>
    <xf numFmtId="0" fontId="3" fillId="12" borderId="17" applyAlignment="1" pivotButton="0" quotePrefix="0" xfId="0">
      <alignment horizontal="right" vertical="center" indent="1"/>
    </xf>
    <xf numFmtId="0" fontId="3" fillId="12" borderId="17" applyAlignment="1" pivotButton="0" quotePrefix="0" xfId="0">
      <alignment horizontal="center" vertical="center"/>
    </xf>
    <xf numFmtId="2" fontId="0" fillId="0" borderId="0" pivotButton="0" quotePrefix="0" xfId="0"/>
    <xf numFmtId="0" fontId="3" fillId="11" borderId="21" applyAlignment="1" pivotButton="0" quotePrefix="0" xfId="0">
      <alignment horizontal="center" vertical="center"/>
    </xf>
    <xf numFmtId="0" fontId="3" fillId="11" borderId="29" applyAlignment="1" pivotButton="0" quotePrefix="0" xfId="0">
      <alignment horizontal="center" vertical="center"/>
    </xf>
    <xf numFmtId="2" fontId="3" fillId="12" borderId="27" applyAlignment="1" pivotButton="0" quotePrefix="0" xfId="0">
      <alignment horizontal="center" vertical="center"/>
    </xf>
    <xf numFmtId="2" fontId="3" fillId="12" borderId="28" applyAlignment="1" pivotButton="0" quotePrefix="0" xfId="0">
      <alignment horizontal="center" vertical="center"/>
    </xf>
    <xf numFmtId="2" fontId="3" fillId="15" borderId="26" applyAlignment="1" pivotButton="0" quotePrefix="0" xfId="0">
      <alignment horizontal="center" vertical="center"/>
    </xf>
    <xf numFmtId="2" fontId="3" fillId="15" borderId="20" applyAlignment="1" pivotButton="0" quotePrefix="0" xfId="0">
      <alignment horizontal="center" vertical="center"/>
    </xf>
    <xf numFmtId="1" fontId="3" fillId="12" borderId="27" applyAlignment="1" pivotButton="0" quotePrefix="0" xfId="0">
      <alignment horizontal="center" vertical="center"/>
    </xf>
    <xf numFmtId="1" fontId="3" fillId="15" borderId="26" applyAlignment="1" pivotButton="0" quotePrefix="0" xfId="0">
      <alignment horizontal="center" vertical="center"/>
    </xf>
    <xf numFmtId="164" fontId="3" fillId="12" borderId="28" applyAlignment="1" pivotButton="0" quotePrefix="0" xfId="0">
      <alignment horizontal="center" vertical="center"/>
    </xf>
    <xf numFmtId="164" fontId="3" fillId="15" borderId="20" applyAlignment="1" pivotButton="0" quotePrefix="0" xfId="0">
      <alignment horizontal="center" vertical="center"/>
    </xf>
    <xf numFmtId="1" fontId="3" fillId="12" borderId="26" applyAlignment="1" pivotButton="0" quotePrefix="0" xfId="0">
      <alignment horizontal="center" vertical="center"/>
    </xf>
    <xf numFmtId="2" fontId="3" fillId="12" borderId="20" applyAlignment="1" pivotButton="0" quotePrefix="0" xfId="0">
      <alignment horizontal="center" vertical="center"/>
    </xf>
    <xf numFmtId="0" fontId="9" fillId="19" borderId="0" pivotButton="0" quotePrefix="0" xfId="3"/>
    <xf numFmtId="0" fontId="10" fillId="20" borderId="0" pivotButton="0" quotePrefix="0" xfId="4"/>
    <xf numFmtId="20" fontId="0" fillId="0" borderId="0" pivotButton="0" quotePrefix="0" xfId="0"/>
    <xf numFmtId="0" fontId="8" fillId="17" borderId="32" applyAlignment="1" pivotButton="0" quotePrefix="0" xfId="2">
      <alignment horizontal="left" indent="1"/>
    </xf>
    <xf numFmtId="14" fontId="8" fillId="17" borderId="32" applyAlignment="1" pivotButton="0" quotePrefix="0" xfId="2">
      <alignment horizontal="left" indent="1"/>
    </xf>
    <xf numFmtId="16" fontId="0" fillId="0" borderId="0" pivotButton="0" quotePrefix="0" xfId="0"/>
    <xf numFmtId="0" fontId="0" fillId="0" borderId="0" applyAlignment="1" pivotButton="0" quotePrefix="0" xfId="0">
      <alignment horizontal="left" indent="1"/>
    </xf>
    <xf numFmtId="0" fontId="3" fillId="12" borderId="17" applyAlignment="1" pivotButton="0" quotePrefix="0" xfId="0">
      <alignment horizontal="left" vertical="center" indent="1"/>
    </xf>
    <xf numFmtId="0" fontId="3" fillId="11" borderId="5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6" pivotButton="0" quotePrefix="0" xfId="0"/>
    <xf numFmtId="1" fontId="3" fillId="12" borderId="5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3" fillId="3" borderId="3" applyAlignment="1" pivotButton="0" quotePrefix="0" xfId="0">
      <alignment horizontal="center" vertical="center"/>
    </xf>
    <xf numFmtId="0" fontId="3" fillId="10" borderId="3" applyAlignment="1" pivotButton="0" quotePrefix="0" xfId="0">
      <alignment horizontal="left" vertical="center"/>
    </xf>
    <xf numFmtId="0" fontId="6" fillId="14" borderId="5" applyAlignment="1" pivotButton="0" quotePrefix="0" xfId="0">
      <alignment horizontal="center" vertical="center"/>
    </xf>
    <xf numFmtId="0" fontId="6" fillId="13" borderId="5" applyAlignment="1" pivotButton="0" quotePrefix="0" xfId="0">
      <alignment horizontal="center" vertical="center"/>
    </xf>
    <xf numFmtId="0" fontId="3" fillId="12" borderId="5" applyAlignment="1" pivotButton="0" quotePrefix="0" xfId="0">
      <alignment horizontal="center" vertical="center"/>
    </xf>
    <xf numFmtId="0" fontId="5" fillId="11" borderId="15" applyAlignment="1" pivotButton="0" quotePrefix="0" xfId="0">
      <alignment horizontal="center" vertical="center" wrapText="1"/>
    </xf>
    <xf numFmtId="0" fontId="0" fillId="0" borderId="12" pivotButton="0" quotePrefix="0" xfId="0"/>
    <xf numFmtId="1" fontId="3" fillId="12" borderId="14" applyAlignment="1" pivotButton="0" quotePrefix="0" xfId="0">
      <alignment horizontal="center" vertical="center"/>
    </xf>
    <xf numFmtId="1" fontId="0" fillId="0" borderId="11" pivotButton="0" quotePrefix="0" xfId="0"/>
    <xf numFmtId="164" fontId="3" fillId="12" borderId="16" applyAlignment="1" pivotButton="0" quotePrefix="0" xfId="1">
      <alignment horizontal="center" vertical="center"/>
    </xf>
    <xf numFmtId="164" fontId="0" fillId="0" borderId="13" pivotButton="0" quotePrefix="0" xfId="0"/>
    <xf numFmtId="0" fontId="6" fillId="12" borderId="5" applyAlignment="1" pivotButton="0" quotePrefix="0" xfId="0">
      <alignment horizontal="center" vertical="center"/>
    </xf>
    <xf numFmtId="0" fontId="5" fillId="11" borderId="33" applyAlignment="1" pivotButton="0" quotePrefix="0" xfId="0">
      <alignment horizontal="center" vertical="center" wrapText="1"/>
    </xf>
    <xf numFmtId="0" fontId="0" fillId="0" borderId="34" applyAlignment="1" pivotButton="0" quotePrefix="0" xfId="0">
      <alignment horizontal="center" vertical="center" wrapText="1"/>
    </xf>
    <xf numFmtId="0" fontId="0" fillId="0" borderId="35" applyAlignment="1" pivotButton="0" quotePrefix="0" xfId="0">
      <alignment horizontal="center" vertical="center" wrapText="1"/>
    </xf>
    <xf numFmtId="0" fontId="3" fillId="10" borderId="18" applyAlignment="1" pivotButton="0" quotePrefix="0" xfId="0">
      <alignment horizontal="left" vertical="center"/>
    </xf>
    <xf numFmtId="0" fontId="3" fillId="10" borderId="2" applyAlignment="1" pivotButton="0" quotePrefix="0" xfId="0">
      <alignment horizontal="left" vertical="center"/>
    </xf>
    <xf numFmtId="0" fontId="5" fillId="11" borderId="14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3" pivotButton="0" quotePrefix="0" xfId="0"/>
    <xf numFmtId="0" fontId="3" fillId="11" borderId="30" applyAlignment="1" pivotButton="0" quotePrefix="0" xfId="0">
      <alignment horizontal="center" vertical="center" wrapText="1"/>
    </xf>
    <xf numFmtId="0" fontId="0" fillId="0" borderId="31" applyAlignment="1" pivotButton="0" quotePrefix="0" xfId="0">
      <alignment wrapText="1"/>
    </xf>
    <xf numFmtId="0" fontId="0" fillId="0" borderId="19" pivotButton="0" quotePrefix="0" xfId="0"/>
    <xf numFmtId="0" fontId="3" fillId="11" borderId="5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6" applyAlignment="1" pivotButton="0" quotePrefix="0" xfId="0">
      <alignment wrapText="1"/>
    </xf>
    <xf numFmtId="1" fontId="3" fillId="15" borderId="24" applyAlignment="1" pivotButton="0" quotePrefix="0" xfId="0">
      <alignment horizontal="center" vertical="center" wrapText="1"/>
    </xf>
    <xf numFmtId="0" fontId="0" fillId="16" borderId="25" applyAlignment="1" pivotButton="0" quotePrefix="0" xfId="0">
      <alignment wrapText="1"/>
    </xf>
    <xf numFmtId="0" fontId="3" fillId="12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wrapText="1"/>
    </xf>
    <xf numFmtId="2" fontId="3" fillId="12" borderId="6" applyAlignment="1" pivotButton="0" quotePrefix="0" xfId="0">
      <alignment horizontal="center" vertical="center"/>
    </xf>
    <xf numFmtId="2" fontId="6" fillId="12" borderId="5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0" fillId="0" borderId="0" pivotButton="0" quotePrefix="0" xfId="0"/>
    <xf numFmtId="2" fontId="6" fillId="13" borderId="5" applyAlignment="1" pivotButton="0" quotePrefix="0" xfId="0">
      <alignment horizontal="center" vertical="center"/>
    </xf>
    <xf numFmtId="1" fontId="3" fillId="12" borderId="24" applyAlignment="1" pivotButton="0" quotePrefix="0" xfId="0">
      <alignment horizontal="center" vertical="center" wrapText="1"/>
    </xf>
    <xf numFmtId="0" fontId="0" fillId="18" borderId="25" applyAlignment="1" pivotButton="0" quotePrefix="0" xfId="0">
      <alignment wrapText="1"/>
    </xf>
    <xf numFmtId="0" fontId="0" fillId="0" borderId="34" pivotButton="0" quotePrefix="0" xfId="0"/>
    <xf numFmtId="0" fontId="0" fillId="0" borderId="35" pivotButton="0" quotePrefix="0" xfId="0"/>
    <xf numFmtId="0" fontId="3" fillId="12" borderId="39" applyAlignment="1" pivotButton="0" quotePrefix="0" xfId="0">
      <alignment horizontal="center" vertical="center" wrapText="1"/>
    </xf>
    <xf numFmtId="1" fontId="3" fillId="15" borderId="42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5" pivotButton="0" quotePrefix="0" xfId="0"/>
    <xf numFmtId="0" fontId="3" fillId="11" borderId="36" applyAlignment="1" pivotButton="0" quotePrefix="0" xfId="0">
      <alignment horizontal="center" vertical="center" wrapText="1"/>
    </xf>
    <xf numFmtId="1" fontId="3" fillId="12" borderId="42" applyAlignment="1" pivotButton="0" quotePrefix="0" xfId="0">
      <alignment horizontal="center" vertical="center" wrapText="1"/>
    </xf>
    <xf numFmtId="0" fontId="0" fillId="0" borderId="31" pivotButton="0" quotePrefix="0" xfId="0"/>
  </cellXfs>
  <cellStyles count="5">
    <cellStyle name="Standard" xfId="0" builtinId="0"/>
    <cellStyle name="Prozent" xfId="1" builtinId="5"/>
    <cellStyle name="Ausgabe" xfId="2" builtinId="21"/>
    <cellStyle name="Gut" xfId="3" builtinId="26"/>
    <cellStyle name="Schlecht" xfId="4" builtinId="27"/>
  </cellStyles>
  <dxfs count="10">
    <dxf>
      <font>
        <color rgb="FF9C0006"/>
      </font>
      <fill>
        <patternFill>
          <bgColor rgb="FFFFC7CE"/>
        </patternFill>
      </fill>
    </dxf>
    <dxf>
      <fill>
        <patternFill>
          <bgColor rgb="FFEA7131"/>
        </patternFill>
      </fill>
    </dxf>
    <dxf>
      <fill>
        <patternFill>
          <bgColor rgb="FFFFC000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theme="7"/>
          <bgColor theme="7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BC8D03"/>
          <bgColor rgb="FFBC8D03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FC000"/>
          <bgColor rgb="FFFFC0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6"/>
  <sheetViews>
    <sheetView tabSelected="1" topLeftCell="B1" zoomScale="110" zoomScaleNormal="110" workbookViewId="0">
      <selection activeCell="P5" sqref="P5"/>
    </sheetView>
  </sheetViews>
  <sheetFormatPr baseColWidth="10" defaultRowHeight="16"/>
  <cols>
    <col hidden="1" width="10.83203125" customWidth="1" style="87" min="1" max="1"/>
    <col width="12.83203125" customWidth="1" style="87" min="3" max="10"/>
    <col width="15.33203125" bestFit="1" customWidth="1" style="87" min="12" max="12"/>
    <col width="13.83203125" customWidth="1" style="87" min="13" max="13"/>
    <col width="14.83203125" bestFit="1" customWidth="1" style="87" min="14" max="14"/>
    <col hidden="1" style="87" min="17" max="17"/>
  </cols>
  <sheetData>
    <row r="1" ht="17" customHeight="1" s="87" thickBot="1">
      <c r="A1" s="1" t="inlineStr">
        <is>
          <t>SpieleIDs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17" customHeight="1" s="87" thickBot="1">
      <c r="A2" s="1">
        <f t="array" ref="A2">_xlfn.LET(
  _xlpm.Kat,Dashboard!$M$2,
  _xlpm.Xraw,Dashboard!$M$3,
  _xlpm.DRaw,Dashboard!$M$4,
  _xlpm.IstAlleKat,AND(ISTEXT(_xlpm.Kat),LOWER(_xlpm.Kat)="alle"),
  _xlpm.IstAlleX,AND(ISTEXT(_xlpm.Xraw),LOWER(_xlpm.Xraw)="alle"),
  _xlpm.IDs0,DataSpiele!$A$2:$A$99814,
  _xlpm.Kats0,DataSpiele!$B$2:$B$99814,
  _xlpm.Dat0,DataSpiele!$C$2:$C$99814,
  _xlpm.IDs,_xlfn._xlws.FILTER(_xlpm.IDs0,_xlpm.IDs0&lt;&gt;""),
  _xlpm.Kats,_xlfn._xlws.FILTER(_xlpm.Kats0,_xlpm.IDs0&lt;&gt;""),
  _xlpm.Dat,_xlfn._xlws.FILTER(_xlpm.Dat0,_xlpm.IDs0&lt;&gt;""),
  _xlpm.DMin,IF(_xlpm.DRaw="","",IFERROR(--_xlpm.DRaw,DATEVALUE(_xlpm.DRaw))),
  _xlpm.HatDatum,_xlpm.DRaw&lt;&gt;"",
  _xlpm.IDsGef,_xlfn._xlws.FILTER(
    _xlpm.IDs,
    (IF(_xlpm.IstAlleKat,TRUE,_xlpm.Kats=_xlpm.Kat)) *
    (IF(_xlpm.HatDatum,_xlpm.Dat&gt;=_xlpm.DMin,TRUE))
  ),
  _xlpm.n,ROWS(_xlpm.IDsGef),
  _xlpm.X,IF(_xlpm.IstAlleX,_xlpm.n,IFERROR(--_xlpm.Xraw,VALUE(_xlpm.Xraw))),
  _xlpm.k,MIN(_xlpm.X,_xlpm.n),
  INDEX(_xlpm.IDsGef,_xlfn.SEQUENCE(_xlpm.k,1,_xlpm.n-_xlpm.k+1,1))
)</f>
        <v/>
      </c>
      <c r="B2" s="1" t="n"/>
      <c r="C2" s="51" t="inlineStr">
        <is>
          <t>Statistics</t>
        </is>
      </c>
      <c r="D2" s="52" t="n"/>
      <c r="E2" s="52" t="n"/>
      <c r="F2" s="52" t="n"/>
      <c r="G2" s="52" t="n"/>
      <c r="H2" s="52" t="n"/>
      <c r="I2" s="52" t="n"/>
      <c r="J2" s="53" t="n"/>
      <c r="L2" t="inlineStr">
        <is>
          <t>Spieltyp</t>
        </is>
      </c>
      <c r="M2" s="42" t="inlineStr">
        <is>
          <t>Alle</t>
        </is>
      </c>
    </row>
    <row r="3" ht="17" customHeight="1" s="87" thickBot="1">
      <c r="A3" s="1" t="n"/>
      <c r="B3" s="1" t="n"/>
      <c r="C3" s="54" t="inlineStr">
        <is>
          <t>Main Squad</t>
        </is>
      </c>
      <c r="D3" s="53" t="n"/>
      <c r="E3" s="2" t="inlineStr">
        <is>
          <t>Games</t>
        </is>
      </c>
      <c r="F3" s="3" t="inlineStr">
        <is>
          <t>Goals</t>
        </is>
      </c>
      <c r="G3" s="4" t="inlineStr">
        <is>
          <t>Assists</t>
        </is>
      </c>
      <c r="H3" s="5" t="inlineStr">
        <is>
          <t>Contributions</t>
        </is>
      </c>
      <c r="I3" s="6" t="inlineStr">
        <is>
          <t>MOTM</t>
        </is>
      </c>
      <c r="J3" s="7" t="inlineStr">
        <is>
          <t>Avg. Rating</t>
        </is>
      </c>
      <c r="L3" t="inlineStr">
        <is>
          <t>Die letzten Spiele</t>
        </is>
      </c>
      <c r="M3" s="42" t="inlineStr">
        <is>
          <t>alle</t>
        </is>
      </c>
    </row>
    <row r="4" ht="17" customHeight="1" s="87" thickBot="1">
      <c r="A4" s="1" t="n"/>
      <c r="B4" s="1" t="n"/>
      <c r="C4" s="55" t="inlineStr">
        <is>
          <t>A. Russo</t>
        </is>
      </c>
      <c r="D4" s="53" t="n"/>
      <c r="E4" s="8">
        <f t="array" ref="E4">SUMPRODUCT(
  --(DataSpieler!$C$2:$C$97619=$C4),
  --(DataSpieler!$E$2:$E$97619&gt;0),
  --ISNUMBER(MATCH(DataSpieler!$A$2:$A$97619,_xlfn.ANCHORARRAY($A$2),0))
)</f>
        <v/>
      </c>
      <c r="F4" s="9">
        <f t="array" ref="F4">SUMPRODUCT(
  DataSpieler!$F$2:$F$97619,
  --(DataSpieler!$C$2:$C$97619=C4),
  --ISNUMBER(MATCH(DataSpieler!$A$2:$A$97619,_xlfn.ANCHORARRAY($A$2),0))
)</f>
        <v/>
      </c>
      <c r="G4" s="9">
        <f t="array" ref="G4">SUMPRODUCT(
  DataSpieler!$G$2:$G$97619,
  --(DataSpieler!$C$2:$C$97619=C4),
  --ISNUMBER(MATCH(DataSpieler!$A$2:$A$97619,_xlfn.ANCHORARRAY($A$2),0))
)</f>
        <v/>
      </c>
      <c r="H4" s="9">
        <f>F4+G4</f>
        <v/>
      </c>
      <c r="I4" s="9">
        <f t="array" ref="I4">SUMPRODUCT(
  --(DataSpieler!$C$2:$C$97619=C4),
  --(DataSpieler!$H$2:$H$97619="x"),
  --ISNUMBER(MATCH(DataSpieler!$A$2:$A$97619,_xlfn.ANCHORARRAY($A$2),0))
)</f>
        <v/>
      </c>
      <c r="J4" s="10">
        <f t="array" ref="J4">IFERROR(
  AVERAGE(
    _xlfn._xlws.FILTER(
      DataSpieler!$E$2:$E$97619,
      (DataSpieler!$C$2:$C$97619=C4) *
      ISNUMBER(MATCH(DataSpieler!$A$2:$A$97619,_xlfn.ANCHORARRAY($A$2),0))
    )
  ),
  ""
)</f>
        <v/>
      </c>
      <c r="L4" t="inlineStr">
        <is>
          <t>Startdatum?</t>
        </is>
      </c>
      <c r="M4" s="43" t="n"/>
    </row>
    <row r="5" ht="17" customHeight="1" s="87" thickBot="1">
      <c r="A5" s="1" t="n"/>
      <c r="B5" s="1" t="n"/>
      <c r="C5" s="55" t="inlineStr">
        <is>
          <t>F. Totti</t>
        </is>
      </c>
      <c r="D5" s="53" t="n"/>
      <c r="E5" s="8">
        <f t="array" ref="E5">SUMPRODUCT(
  --(DataSpieler!$C$2:$C$97619=$C5),
  --(DataSpieler!$E$2:$E$97619&gt;0),
  --ISNUMBER(MATCH(DataSpieler!$A$2:$A$97619,_xlfn.ANCHORARRAY($A$2),0))
)</f>
        <v/>
      </c>
      <c r="F5" s="9">
        <f t="array" ref="F5">SUMPRODUCT(
  DataSpieler!$F$2:$F$97619,
  --(DataSpieler!$C$2:$C$97619=C5),
  --ISNUMBER(MATCH(DataSpieler!$A$2:$A$97619,_xlfn.ANCHORARRAY($A$2),0))
)</f>
        <v/>
      </c>
      <c r="G5" s="9">
        <f t="array" ref="G5">SUMPRODUCT(
  DataSpieler!$G$2:$G$97619,
  --(DataSpieler!$C$2:$C$97619=C5),
  --ISNUMBER(MATCH(DataSpieler!$A$2:$A$97619,_xlfn.ANCHORARRAY($A$2),0))
)</f>
        <v/>
      </c>
      <c r="H5" s="9">
        <f>F5+G5</f>
        <v/>
      </c>
      <c r="I5" s="9">
        <f t="array" ref="I5">SUMPRODUCT(
  --(DataSpieler!$C$2:$C$97619=C5),
  --(DataSpieler!$H$2:$H$97619="x"),
  --ISNUMBER(MATCH(DataSpieler!$A$2:$A$97619,_xlfn.ANCHORARRAY($A$2),0))
)</f>
        <v/>
      </c>
      <c r="J5" s="10">
        <f t="array" ref="J5">IFERROR(
  AVERAGE(
    _xlfn._xlws.FILTER(
      DataSpieler!$E$2:$E$97619,
      (DataSpieler!$C$2:$C$97619=C5) *
      ISNUMBER(MATCH(DataSpieler!$A$2:$A$97619,_xlfn.ANCHORARRAY($A$2),0))
    )
  ),
  ""
)</f>
        <v/>
      </c>
    </row>
    <row r="6" ht="17" customHeight="1" s="87" thickBot="1">
      <c r="A6" s="1" t="n"/>
      <c r="B6" s="1" t="n"/>
      <c r="C6" s="55" t="inlineStr">
        <is>
          <t>Vini Jr.</t>
        </is>
      </c>
      <c r="D6" s="53" t="n"/>
      <c r="E6" s="8">
        <f t="array" ref="E6">SUMPRODUCT(
  --(DataSpieler!$C$2:$C$97619=$C6),
  --(DataSpieler!$E$2:$E$97619&gt;0),
  --ISNUMBER(MATCH(DataSpieler!$A$2:$A$97619,_xlfn.ANCHORARRAY($A$2),0))
)</f>
        <v/>
      </c>
      <c r="F6" s="9">
        <f t="array" ref="F6">SUMPRODUCT(
  DataSpieler!$F$2:$F$97619,
  --(DataSpieler!$C$2:$C$97619=C6),
  --ISNUMBER(MATCH(DataSpieler!$A$2:$A$97619,_xlfn.ANCHORARRAY($A$2),0))
)</f>
        <v/>
      </c>
      <c r="G6" s="9">
        <f t="array" ref="G6">SUMPRODUCT(
  DataSpieler!$G$2:$G$97619,
  --(DataSpieler!$C$2:$C$97619=C6),
  --ISNUMBER(MATCH(DataSpieler!$A$2:$A$97619,_xlfn.ANCHORARRAY($A$2),0))
)</f>
        <v/>
      </c>
      <c r="H6" s="9">
        <f>F6+G6</f>
        <v/>
      </c>
      <c r="I6" s="9">
        <f t="array" ref="I6">SUMPRODUCT(
  --(DataSpieler!$C$2:$C$97619=C6),
  --(DataSpieler!$H$2:$H$97619="x"),
  --ISNUMBER(MATCH(DataSpieler!$A$2:$A$97619,_xlfn.ANCHORARRAY($A$2),0))
)</f>
        <v/>
      </c>
      <c r="J6" s="10">
        <f t="array" ref="J6">IFERROR(
  AVERAGE(
    _xlfn._xlws.FILTER(
      DataSpieler!$E$2:$E$97619,
      (DataSpieler!$C$2:$C$97619=C6) *
      ISNUMBER(MATCH(DataSpieler!$A$2:$A$97619,_xlfn.ANCHORARRAY($A$2),0))
    )
  ),
  ""
)</f>
        <v/>
      </c>
      <c r="M6" s="45" t="inlineStr">
        <is>
          <t>letzte SpielID der Kategorie</t>
        </is>
      </c>
    </row>
    <row r="7" ht="17" customHeight="1" s="87" thickBot="1">
      <c r="A7" s="1" t="n"/>
      <c r="B7" s="1" t="n"/>
      <c r="C7" s="55" t="inlineStr">
        <is>
          <t>Jairzinho</t>
        </is>
      </c>
      <c r="D7" s="53" t="n"/>
      <c r="E7" s="8">
        <f t="array" ref="E7">SUMPRODUCT(
  --(DataSpieler!$C$2:$C$97619=$C7),
  --(DataSpieler!$E$2:$E$97619&gt;0),
  --ISNUMBER(MATCH(DataSpieler!$A$2:$A$97619,_xlfn.ANCHORARRAY($A$2),0))
)</f>
        <v/>
      </c>
      <c r="F7" s="9">
        <f t="array" ref="F7">SUMPRODUCT(
  DataSpieler!$F$2:$F$97619,
  --(DataSpieler!$C$2:$C$97619=C7),
  --ISNUMBER(MATCH(DataSpieler!$A$2:$A$97619,_xlfn.ANCHORARRAY($A$2),0))
)</f>
        <v/>
      </c>
      <c r="G7" s="9">
        <f t="array" ref="G7">SUMPRODUCT(
  DataSpieler!$G$2:$G$97619,
  --(DataSpieler!$C$2:$C$97619=C7),
  --ISNUMBER(MATCH(DataSpieler!$A$2:$A$97619,_xlfn.ANCHORARRAY($A$2),0))
)</f>
        <v/>
      </c>
      <c r="H7" s="9">
        <f>F7+G7</f>
        <v/>
      </c>
      <c r="I7" s="9">
        <f t="array" ref="I7">SUMPRODUCT(
  --(DataSpieler!$C$2:$C$97619=C7),
  --(DataSpieler!$H$2:$H$97619="x"),
  --ISNUMBER(MATCH(DataSpieler!$A$2:$A$97619,_xlfn.ANCHORARRAY($A$2),0))
)</f>
        <v/>
      </c>
      <c r="J7" s="10">
        <f t="array" ref="J7">IFERROR(
  AVERAGE(
    _xlfn._xlws.FILTER(
      DataSpieler!$E$2:$E$97619,
      (DataSpieler!$C$2:$C$97619=C7) *
      ISNUMBER(MATCH(DataSpieler!$A$2:$A$97619,_xlfn.ANCHORARRAY($A$2),0))
    )
  ),
  ""
)</f>
        <v/>
      </c>
      <c r="L7" t="inlineStr">
        <is>
          <t>Squadbattles</t>
        </is>
      </c>
      <c r="M7" s="45">
        <f t="array" ref="M7">IFERROR(RIGHT(LOOKUP(
  2,
  1/(DataSpiele!B:B=Dashboard!L7),
  DataSpiele!A:A
),3),"000")</f>
        <v/>
      </c>
    </row>
    <row r="8" ht="17" customHeight="1" s="87" thickBot="1">
      <c r="A8" s="1" t="n"/>
      <c r="B8" s="1" t="n"/>
      <c r="C8" s="55" t="inlineStr">
        <is>
          <t>F. Valverde</t>
        </is>
      </c>
      <c r="D8" s="53" t="n"/>
      <c r="E8" s="8">
        <f t="array" ref="E8">SUMPRODUCT(
  --(DataSpieler!$C$2:$C$97619=$C8),
  --(DataSpieler!$E$2:$E$97619&gt;0),
  --ISNUMBER(MATCH(DataSpieler!$A$2:$A$97619,_xlfn.ANCHORARRAY($A$2),0))
)</f>
        <v/>
      </c>
      <c r="F8" s="9">
        <f t="array" ref="F8">SUMPRODUCT(
  DataSpieler!$F$2:$F$97619,
  --(DataSpieler!$C$2:$C$97619=C8),
  --ISNUMBER(MATCH(DataSpieler!$A$2:$A$97619,_xlfn.ANCHORARRAY($A$2),0))
)</f>
        <v/>
      </c>
      <c r="G8" s="9">
        <f t="array" ref="G8">SUMPRODUCT(
  DataSpieler!$G$2:$G$97619,
  --(DataSpieler!$C$2:$C$97619=C8),
  --ISNUMBER(MATCH(DataSpieler!$A$2:$A$97619,_xlfn.ANCHORARRAY($A$2),0))
)</f>
        <v/>
      </c>
      <c r="H8" s="9">
        <f>F8+G8</f>
        <v/>
      </c>
      <c r="I8" s="9">
        <f t="array" ref="I8">SUMPRODUCT(
  --(DataSpieler!$C$2:$C$97619=C8),
  --(DataSpieler!$H$2:$H$97619="x"),
  --ISNUMBER(MATCH(DataSpieler!$A$2:$A$97619,_xlfn.ANCHORARRAY($A$2),0))
)</f>
        <v/>
      </c>
      <c r="J8" s="10">
        <f t="array" ref="J8">IFERROR(
  AVERAGE(
    _xlfn._xlws.FILTER(
      DataSpieler!$E$2:$E$97619,
      (DataSpieler!$C$2:$C$97619=C8) *
      ISNUMBER(MATCH(DataSpieler!$A$2:$A$97619,_xlfn.ANCHORARRAY($A$2),0))
    )
  ),
  ""
)</f>
        <v/>
      </c>
      <c r="L8" t="inlineStr">
        <is>
          <t>Rivals</t>
        </is>
      </c>
      <c r="M8" s="45">
        <f t="array" ref="M8">IFERROR(RIGHT(LOOKUP(
  2,
  1/(DataSpiele!B:B=Dashboard!L8),
  DataSpiele!A:A
),3),"000")</f>
        <v/>
      </c>
    </row>
    <row r="9" ht="17" customHeight="1" s="87" thickBot="1">
      <c r="A9" s="1" t="n"/>
      <c r="B9" s="1" t="n"/>
      <c r="C9" s="55" t="inlineStr">
        <is>
          <t>Mariona</t>
        </is>
      </c>
      <c r="D9" s="53" t="n"/>
      <c r="E9" s="8">
        <f t="array" ref="E9">SUMPRODUCT(
  --(DataSpieler!$C$2:$C$97619=$C9),
  --(DataSpieler!$E$2:$E$97619&gt;0),
  --ISNUMBER(MATCH(DataSpieler!$A$2:$A$97619,_xlfn.ANCHORARRAY($A$2),0))
)</f>
        <v/>
      </c>
      <c r="F9" s="9">
        <f t="array" ref="F9">SUMPRODUCT(
  DataSpieler!$F$2:$F$97619,
  --(DataSpieler!$C$2:$C$97619=C9),
  --ISNUMBER(MATCH(DataSpieler!$A$2:$A$97619,_xlfn.ANCHORARRAY($A$2),0))
)</f>
        <v/>
      </c>
      <c r="G9" s="9">
        <f t="array" ref="G9">SUMPRODUCT(
  DataSpieler!$G$2:$G$97619,
  --(DataSpieler!$C$2:$C$97619=C9),
  --ISNUMBER(MATCH(DataSpieler!$A$2:$A$97619,_xlfn.ANCHORARRAY($A$2),0))
)</f>
        <v/>
      </c>
      <c r="H9" s="9">
        <f>F9+G9</f>
        <v/>
      </c>
      <c r="I9" s="9">
        <f t="array" ref="I9">SUMPRODUCT(
  --(DataSpieler!$C$2:$C$97619=C9),
  --(DataSpieler!$H$2:$H$97619="x"),
  --ISNUMBER(MATCH(DataSpieler!$A$2:$A$97619,_xlfn.ANCHORARRAY($A$2),0))
)</f>
        <v/>
      </c>
      <c r="J9" s="10">
        <f t="array" ref="J9">IFERROR(
  AVERAGE(
    _xlfn._xlws.FILTER(
      DataSpieler!$E$2:$E$97619,
      (DataSpieler!$C$2:$C$97619=C9) *
      ISNUMBER(MATCH(DataSpieler!$A$2:$A$97619,_xlfn.ANCHORARRAY($A$2),0))
    )
  ),
  ""
)</f>
        <v/>
      </c>
      <c r="L9" t="inlineStr">
        <is>
          <t>Champions</t>
        </is>
      </c>
      <c r="M9" s="45">
        <f t="array" ref="M9">IFERROR(RIGHT(LOOKUP(
  2,
  1/(DataSpiele!B:B=Dashboard!L9),
  DataSpiele!A:A
),3),"000")</f>
        <v/>
      </c>
    </row>
    <row r="10" ht="17" customHeight="1" s="87" thickBot="1">
      <c r="A10" s="1" t="n"/>
      <c r="B10" s="1" t="n"/>
      <c r="C10" s="55" t="inlineStr">
        <is>
          <t>S. Bacha</t>
        </is>
      </c>
      <c r="D10" s="53" t="n"/>
      <c r="E10" s="8">
        <f t="array" ref="E10">SUMPRODUCT(
  --(DataSpieler!$C$2:$C$97619=$C10),
  --(DataSpieler!$E$2:$E$97619&gt;0),
  --ISNUMBER(MATCH(DataSpieler!$A$2:$A$97619,_xlfn.ANCHORARRAY($A$2),0))
)</f>
        <v/>
      </c>
      <c r="F10" s="9">
        <f t="array" ref="F10">SUMPRODUCT(
  DataSpieler!$F$2:$F$97619,
  --(DataSpieler!$C$2:$C$97619=C10),
  --ISNUMBER(MATCH(DataSpieler!$A$2:$A$97619,_xlfn.ANCHORARRAY($A$2),0))
)</f>
        <v/>
      </c>
      <c r="G10" s="9">
        <f t="array" ref="G10">SUMPRODUCT(
  DataSpieler!$G$2:$G$97619,
  --(DataSpieler!$C$2:$C$97619=C10),
  --ISNUMBER(MATCH(DataSpieler!$A$2:$A$97619,_xlfn.ANCHORARRAY($A$2),0))
)</f>
        <v/>
      </c>
      <c r="H10" s="9">
        <f>F10+G10</f>
        <v/>
      </c>
      <c r="I10" s="9">
        <f t="array" ref="I10">SUMPRODUCT(
  --(DataSpieler!$C$2:$C$97619=C10),
  --(DataSpieler!$H$2:$H$97619="x"),
  --ISNUMBER(MATCH(DataSpieler!$A$2:$A$97619,_xlfn.ANCHORARRAY($A$2),0))
)</f>
        <v/>
      </c>
      <c r="J10" s="10">
        <f t="array" ref="J10">IFERROR(
  AVERAGE(
    _xlfn._xlws.FILTER(
      DataSpieler!$E$2:$E$97619,
      (DataSpieler!$C$2:$C$97619=C10) *
      ISNUMBER(MATCH(DataSpieler!$A$2:$A$97619,_xlfn.ANCHORARRAY($A$2),0))
    )
  ),
  ""
)</f>
        <v/>
      </c>
      <c r="L10" t="inlineStr">
        <is>
          <t>Live Event</t>
        </is>
      </c>
      <c r="M10" s="45">
        <f t="array" ref="M10">IFERROR(
  RIGHT(
    LOOKUP(
      2,
      1/(DataSpiele!B:B=Dashboard!L10),
      DataSpiele!A:A
    ),
    3
  ),
  "000"
)</f>
        <v/>
      </c>
    </row>
    <row r="11" ht="17" customHeight="1" s="87" thickBot="1">
      <c r="A11" s="1" t="n"/>
      <c r="B11" s="1" t="n"/>
      <c r="C11" s="55" t="inlineStr">
        <is>
          <t>M. Bright</t>
        </is>
      </c>
      <c r="D11" s="53" t="n"/>
      <c r="E11" s="8">
        <f t="array" ref="E11">SUMPRODUCT(
  --(DataSpieler!$C$2:$C$97619=$C11),
  --(DataSpieler!$E$2:$E$97619&gt;0),
  --ISNUMBER(MATCH(DataSpieler!$A$2:$A$97619,_xlfn.ANCHORARRAY($A$2),0))
)</f>
        <v/>
      </c>
      <c r="F11" s="9">
        <f t="array" ref="F11">SUMPRODUCT(
  DataSpieler!$F$2:$F$97619,
  --(DataSpieler!$C$2:$C$97619=C11),
  --ISNUMBER(MATCH(DataSpieler!$A$2:$A$97619,_xlfn.ANCHORARRAY($A$2),0))
)</f>
        <v/>
      </c>
      <c r="G11" s="9">
        <f t="array" ref="G11">SUMPRODUCT(
  DataSpieler!$G$2:$G$97619,
  --(DataSpieler!$C$2:$C$97619=C11),
  --ISNUMBER(MATCH(DataSpieler!$A$2:$A$97619,_xlfn.ANCHORARRAY($A$2),0))
)</f>
        <v/>
      </c>
      <c r="H11" s="9">
        <f>F11+G11</f>
        <v/>
      </c>
      <c r="I11" s="9">
        <f t="array" ref="I11">SUMPRODUCT(
  --(DataSpieler!$C$2:$C$97619=C11),
  --(DataSpieler!$H$2:$H$97619="x"),
  --ISNUMBER(MATCH(DataSpieler!$A$2:$A$97619,_xlfn.ANCHORARRAY($A$2),0))
)</f>
        <v/>
      </c>
      <c r="J11" s="10">
        <f t="array" ref="J11">IFERROR(
  AVERAGE(
    _xlfn._xlws.FILTER(
      DataSpieler!$E$2:$E$97619,
      (DataSpieler!$C$2:$C$97619=C11) *
      ISNUMBER(MATCH(DataSpieler!$A$2:$A$97619,_xlfn.ANCHORARRAY($A$2),0))
    )
  ),
  ""
)</f>
        <v/>
      </c>
    </row>
    <row r="12" ht="17" customHeight="1" s="87" thickBot="1" thickTop="1">
      <c r="A12" s="1" t="n"/>
      <c r="B12" s="1" t="n"/>
      <c r="C12" s="55" t="inlineStr">
        <is>
          <t>M. van de Ven</t>
        </is>
      </c>
      <c r="D12" s="53" t="n"/>
      <c r="E12" s="8">
        <f t="array" ref="E12">SUMPRODUCT(
  --(DataSpieler!$C$2:$C$97619=$C12),
  --(DataSpieler!$E$2:$E$97619&gt;0),
  --ISNUMBER(MATCH(DataSpieler!$A$2:$A$97619,_xlfn.ANCHORARRAY($A$2),0))
)</f>
        <v/>
      </c>
      <c r="F12" s="9">
        <f t="array" ref="F12">SUMPRODUCT(
  DataSpieler!$F$2:$F$97619,
  --(DataSpieler!$C$2:$C$97619=C12),
  --ISNUMBER(MATCH(DataSpieler!$A$2:$A$97619,_xlfn.ANCHORARRAY($A$2),0))
)</f>
        <v/>
      </c>
      <c r="G12" s="9">
        <f t="array" ref="G12">SUMPRODUCT(
  DataSpieler!$G$2:$G$97619,
  --(DataSpieler!$C$2:$C$97619=C12),
  --ISNUMBER(MATCH(DataSpieler!$A$2:$A$97619,_xlfn.ANCHORARRAY($A$2),0))
)</f>
        <v/>
      </c>
      <c r="H12" s="9">
        <f>F12+G12</f>
        <v/>
      </c>
      <c r="I12" s="9">
        <f t="array" ref="I12">SUMPRODUCT(
  --(DataSpieler!$C$2:$C$97619=C12),
  --(DataSpieler!$H$2:$H$97619="x"),
  --ISNUMBER(MATCH(DataSpieler!$A$2:$A$97619,_xlfn.ANCHORARRAY($A$2),0))
)</f>
        <v/>
      </c>
      <c r="J12" s="10">
        <f t="array" ref="J12">IFERROR(
  AVERAGE(
    _xlfn._xlws.FILTER(
      DataSpieler!$E$2:$E$97619,
      (DataSpieler!$C$2:$C$97619=C12) *
      ISNUMBER(MATCH(DataSpieler!$A$2:$A$97619,_xlfn.ANCHORARRAY($A$2),0))
    )
  ),
  ""
)</f>
        <v/>
      </c>
      <c r="L12" s="47" t="inlineStr">
        <is>
          <t>Matches</t>
        </is>
      </c>
      <c r="M12" s="15" t="inlineStr">
        <is>
          <t>Spiel ID</t>
        </is>
      </c>
      <c r="N12" s="47" t="inlineStr">
        <is>
          <t>Ergebnis</t>
        </is>
      </c>
      <c r="O12" s="15" t="inlineStr">
        <is>
          <t>Streak</t>
        </is>
      </c>
      <c r="P12" s="15" t="inlineStr">
        <is>
          <t>Spielstand</t>
        </is>
      </c>
    </row>
    <row r="13" ht="17" customHeight="1" s="87" thickBot="1" thickTop="1">
      <c r="A13" s="1" t="n"/>
      <c r="B13" s="1" t="n"/>
      <c r="C13" s="55" t="inlineStr">
        <is>
          <t>Carlos Alberto</t>
        </is>
      </c>
      <c r="D13" s="53" t="n"/>
      <c r="E13" s="8">
        <f t="array" ref="E13">SUMPRODUCT(
  --(DataSpieler!$C$2:$C$97619=$C13),
  --(DataSpieler!$E$2:$E$97619&gt;0),
  --ISNUMBER(MATCH(DataSpieler!$A$2:$A$97619,_xlfn.ANCHORARRAY($A$2),0))
)</f>
        <v/>
      </c>
      <c r="F13" s="9">
        <f t="array" ref="F13">SUMPRODUCT(
  DataSpieler!$F$2:$F$97619,
  --(DataSpieler!$C$2:$C$97619=C13),
  --ISNUMBER(MATCH(DataSpieler!$A$2:$A$97619,_xlfn.ANCHORARRAY($A$2),0))
)</f>
        <v/>
      </c>
      <c r="G13" s="9">
        <f t="array" ref="G13">SUMPRODUCT(
  DataSpieler!$G$2:$G$97619,
  --(DataSpieler!$C$2:$C$97619=C13),
  --ISNUMBER(MATCH(DataSpieler!$A$2:$A$97619,_xlfn.ANCHORARRAY($A$2),0))
)</f>
        <v/>
      </c>
      <c r="H13" s="9">
        <f>F13+G13</f>
        <v/>
      </c>
      <c r="I13" s="9">
        <f t="array" ref="I13">SUMPRODUCT(
  --(DataSpieler!$C$2:$C$97619=C13),
  --(DataSpieler!$H$2:$H$97619="x"),
  --ISNUMBER(MATCH(DataSpieler!$A$2:$A$97619,_xlfn.ANCHORARRAY($A$2),0))
)</f>
        <v/>
      </c>
      <c r="J13" s="10">
        <f t="array" ref="J13">IFERROR(
  AVERAGE(
    _xlfn._xlws.FILTER(
      DataSpieler!$E$2:$E$97619,
      (DataSpieler!$C$2:$C$97619=C13) *
      ISNUMBER(MATCH(DataSpieler!$A$2:$A$97619,_xlfn.ANCHORARRAY($A$2),0))
    )
  ),
  ""
)</f>
        <v/>
      </c>
      <c r="L13" s="22" t="n">
        <v>1</v>
      </c>
      <c r="M13" s="20">
        <f t="array" ref="M13">IFERROR(
_xlfn.LET(
  _xlpm.IDs,_xlfn.ANCHORARRAY($A$2),
  _xlpm.CatsAll,_xlfn.XLOOKUP(_xlpm.IDs,DataSpiele!$A$2:$A$99814,DataSpiele!$A$2:$A$99814,""),
  _xlpm.n,MIN(15,ROWS(_xlpm.CatsAll)),
  _xlpm.Start,ROWS(_xlpm.CatsAll)-_xlpm.n+1,
  _xlpm.Cats,INDEX(_xlpm.CatsAll,_xlfn.SEQUENCE(_xlpm.n,1,_xlpm.Start,1)),
  _xlpm.i,ROW()-ROW($M$13)+1,
  IF(_xlpm.i&gt;_xlpm.n,"",INDEX(_xlpm.Cats,_xlpm.i))
),
""
)</f>
        <v/>
      </c>
      <c r="N13" s="20">
        <f>IFERROR(_xlfn.XLOOKUP($M$13,DataSpiele!$A:$A,DataSpiele!$H:$H,""),"")</f>
        <v/>
      </c>
      <c r="O13" s="21">
        <f>IF(OR(N13="Sieg",N13="Niederlage"),1,"")</f>
        <v/>
      </c>
      <c r="P13" s="21">
        <f>IFERROR(
_xlfn.LET(
  _xlpm.id, $M$13,
  _xlpm.seite, _xlfn.XLOOKUP(_xlpm.id, DataSpiele!$A:$A, DataSpiele!$I:$I),
  _xlpm.heim,  _xlfn.XLOOKUP(_xlpm.id, DataSpiele!$A:$A, DataSpiele!$D:$D),
  _xlpm.aus,   _xlfn.XLOOKUP(_xlpm.id, DataSpiele!$A:$A, DataSpiele!$E:$E),
  IF(_xlpm.seite="Heim", _xlpm.heim &amp; " : " &amp; _xlpm.aus, _xlpm.aus &amp; " : " &amp; _xlpm.heim)
),
""
)</f>
        <v/>
      </c>
    </row>
    <row r="14" ht="17" customHeight="1" s="87" thickBot="1">
      <c r="A14" s="1" t="n"/>
      <c r="B14" s="1" t="n"/>
      <c r="C14" s="55" t="inlineStr">
        <is>
          <t>G. Vicario</t>
        </is>
      </c>
      <c r="D14" s="53" t="n"/>
      <c r="E14" s="8">
        <f t="array" ref="E14">SUMPRODUCT(
  --(DataSpieler!$C$2:$C$97619=$C14),
  --(DataSpieler!$E$2:$E$97619&gt;0),
  --ISNUMBER(MATCH(DataSpieler!$A$2:$A$97619,_xlfn.ANCHORARRAY($A$2),0))
)</f>
        <v/>
      </c>
      <c r="F14" s="9">
        <f t="array" ref="F14">SUMPRODUCT(
  DataSpieler!$F$2:$F$97619,
  --(DataSpieler!$C$2:$C$97619=C14),
  --ISNUMBER(MATCH(DataSpieler!$A$2:$A$97619,_xlfn.ANCHORARRAY($A$2),0))
)</f>
        <v/>
      </c>
      <c r="G14" s="9">
        <f t="array" ref="G14">SUMPRODUCT(
  DataSpieler!$G$2:$G$97619,
  --(DataSpieler!$C$2:$C$97619=C14),
  --ISNUMBER(MATCH(DataSpieler!$A$2:$A$97619,_xlfn.ANCHORARRAY($A$2),0))
)</f>
        <v/>
      </c>
      <c r="H14" s="9">
        <f>F14+G14</f>
        <v/>
      </c>
      <c r="I14" s="9">
        <f t="array" ref="I14">SUMPRODUCT(
  --(DataSpieler!$C$2:$C$97619=C14),
  --(DataSpieler!$H$2:$H$97619="x"),
  --ISNUMBER(MATCH(DataSpieler!$A$2:$A$97619,_xlfn.ANCHORARRAY($A$2),0))
)</f>
        <v/>
      </c>
      <c r="J14" s="10">
        <f t="array" ref="J14">IFERROR(
  AVERAGE(
    _xlfn._xlws.FILTER(
      DataSpieler!$E$2:$E$97619,
      (DataSpieler!$C$2:$C$97619=C14) *
      ISNUMBER(MATCH(DataSpieler!$A$2:$A$97619,_xlfn.ANCHORARRAY($A$2),0))
    )
  ),
  ""
)</f>
        <v/>
      </c>
      <c r="L14" s="23" t="n">
        <v>2</v>
      </c>
      <c r="M14" s="20">
        <f t="array" ref="M14">IFERROR(
_xlfn.LET(
  _xlpm.IDs,_xlfn.ANCHORARRAY($A$2),
  _xlpm.CatsAll,_xlfn.XLOOKUP(_xlpm.IDs,DataSpiele!$A$2:$A$99814,DataSpiele!$A$2:$A$99814,""),
  _xlpm.n,MIN(15,ROWS(_xlpm.CatsAll)),
  _xlpm.Start,ROWS(_xlpm.CatsAll)-_xlpm.n+1,
  _xlpm.Cats,INDEX(_xlpm.CatsAll,_xlfn.SEQUENCE(_xlpm.n,1,_xlpm.Start,1)),
  _xlpm.i,ROW()-ROW($M$13)+1,
  IF(_xlpm.i&gt;_xlpm.n,"",INDEX(_xlpm.Cats,_xlpm.i))
),
""
)</f>
        <v/>
      </c>
      <c r="N14" s="20">
        <f>IFERROR(_xlfn.XLOOKUP($M$14,DataSpiele!$A:$A,DataSpiele!$H:$H,""),"")</f>
        <v/>
      </c>
      <c r="O14" s="21">
        <f>IF(OR(N14="Sieg",N14="Niederlage"),IF(N14=N13,O13+1,1),"")</f>
        <v/>
      </c>
      <c r="P14" s="21">
        <f>IFERROR(
_xlfn.LET(
  _xlpm.id, $M$14,
  _xlpm.seite, _xlfn.XLOOKUP(_xlpm.id, DataSpiele!$A:$A, DataSpiele!$I:$I),
  _xlpm.heim,  _xlfn.XLOOKUP(_xlpm.id, DataSpiele!$A:$A, DataSpiele!$D:$D),
  _xlpm.aus,   _xlfn.XLOOKUP(_xlpm.id, DataSpiele!$A:$A, DataSpiele!$E:$E),
  IF(_xlpm.seite="Heim", _xlpm.heim &amp; " : " &amp; _xlpm.aus, _xlpm.aus &amp; " : " &amp; _xlpm.heim)
),
""
)</f>
        <v/>
      </c>
    </row>
    <row r="15" ht="17" customHeight="1" s="87" thickBot="1">
      <c r="A15" s="1" t="n"/>
      <c r="B15" s="1" t="n"/>
      <c r="C15" s="54" t="inlineStr">
        <is>
          <t>Bench</t>
        </is>
      </c>
      <c r="D15" s="53" t="n"/>
      <c r="E15" s="2" t="inlineStr">
        <is>
          <t>Games</t>
        </is>
      </c>
      <c r="F15" s="3" t="inlineStr">
        <is>
          <t>Goals</t>
        </is>
      </c>
      <c r="G15" s="4" t="inlineStr">
        <is>
          <t>Assists</t>
        </is>
      </c>
      <c r="H15" s="5" t="inlineStr">
        <is>
          <t>Contributions</t>
        </is>
      </c>
      <c r="I15" s="6" t="inlineStr">
        <is>
          <t>MOTM</t>
        </is>
      </c>
      <c r="J15" s="7" t="inlineStr">
        <is>
          <t>Avg. Rating</t>
        </is>
      </c>
      <c r="L15" s="23" t="n">
        <v>3</v>
      </c>
      <c r="M15" s="20">
        <f t="array" ref="M15">IFERROR(
_xlfn.LET(
  _xlpm.IDs,_xlfn.ANCHORARRAY($A$2),
  _xlpm.CatsAll,_xlfn.XLOOKUP(_xlpm.IDs,DataSpiele!$A$2:$A$99814,DataSpiele!$A$2:$A$99814,""),
  _xlpm.n,MIN(15,ROWS(_xlpm.CatsAll)),
  _xlpm.Start,ROWS(_xlpm.CatsAll)-_xlpm.n+1,
  _xlpm.Cats,INDEX(_xlpm.CatsAll,_xlfn.SEQUENCE(_xlpm.n,1,_xlpm.Start,1)),
  _xlpm.i,ROW()-ROW($M$13)+1,
  IF(_xlpm.i&gt;_xlpm.n,"",INDEX(_xlpm.Cats,_xlpm.i))
),
""
)</f>
        <v/>
      </c>
      <c r="N15" s="20">
        <f>IFERROR(_xlfn.XLOOKUP($M$15,DataSpiele!$A:$A,DataSpiele!$H:$H,""),"")</f>
        <v/>
      </c>
      <c r="O15" s="21">
        <f>IF(OR(N15="Sieg",N15="Niederlage"),IF(N15=N14,O14+1,1),"")</f>
        <v/>
      </c>
      <c r="P15" s="21">
        <f>IFERROR(
_xlfn.LET(
  _xlpm.id, $M$15,
  _xlpm.seite, _xlfn.XLOOKUP(_xlpm.id, DataSpiele!$A:$A, DataSpiele!$I:$I),
  _xlpm.heim,  _xlfn.XLOOKUP(_xlpm.id, DataSpiele!$A:$A, DataSpiele!$D:$D),
  _xlpm.aus,   _xlfn.XLOOKUP(_xlpm.id, DataSpiele!$A:$A, DataSpiele!$E:$E),
  IF(_xlpm.seite="Heim", _xlpm.heim &amp; " : " &amp; _xlpm.aus, _xlpm.aus &amp; " : " &amp; _xlpm.heim)
),
""
)</f>
        <v/>
      </c>
    </row>
    <row r="16" ht="17" customHeight="1" s="87" thickBot="1">
      <c r="A16" s="1" t="n"/>
      <c r="B16" s="1" t="n"/>
      <c r="C16" s="55" t="inlineStr">
        <is>
          <t>Ronaldo</t>
        </is>
      </c>
      <c r="D16" s="53" t="n"/>
      <c r="E16" s="8">
        <f t="array" ref="E16">SUMPRODUCT(
  --(DataSpieler!$C$2:$C$97619=$C16),
  --(DataSpieler!$E$2:$E$97619&gt;0),
  --ISNUMBER(MATCH(DataSpieler!$A$2:$A$97619,_xlfn.ANCHORARRAY($A$2),0))
)</f>
        <v/>
      </c>
      <c r="F16" s="9">
        <f t="array" ref="F16">SUMPRODUCT(
  DataSpieler!$F$2:$F$97619,
  --(DataSpieler!$C$2:$C$97619=C16),
  --ISNUMBER(MATCH(DataSpieler!$A$2:$A$97619,_xlfn.ANCHORARRAY($A$2),0))
)</f>
        <v/>
      </c>
      <c r="G16" s="9">
        <f t="array" ref="G16">SUMPRODUCT(
  DataSpieler!$G$2:$G$97619,
  --(DataSpieler!$C$2:$C$97619=C16),
  --ISNUMBER(MATCH(DataSpieler!$A$2:$A$97619,_xlfn.ANCHORARRAY($A$2),0))
)</f>
        <v/>
      </c>
      <c r="H16" s="9">
        <f>F16+G16</f>
        <v/>
      </c>
      <c r="I16" s="9">
        <f t="array" ref="I16">SUMPRODUCT(
  --(DataSpieler!$C$2:$C$97619=C16),
  --(DataSpieler!$H$2:$H$97619="x"),
  --ISNUMBER(MATCH(DataSpieler!$A$2:$A$97619,_xlfn.ANCHORARRAY($A$2),0))
)</f>
        <v/>
      </c>
      <c r="J16" s="10">
        <f t="array" ref="J16">IFERROR(
  AVERAGE(
    _xlfn._xlws.FILTER(
      DataSpieler!$E$2:$E$97619,
      (DataSpieler!$C$2:$C$97619=C16) *
      ISNUMBER(MATCH(DataSpieler!$A$2:$A$97619,_xlfn.ANCHORARRAY($A$2),0))
    )
  ),
  ""
)</f>
        <v/>
      </c>
      <c r="L16" s="23" t="n">
        <v>4</v>
      </c>
      <c r="M16" s="20">
        <f t="array" ref="M16">IFERROR(
_xlfn.LET(
  _xlpm.IDs,_xlfn.ANCHORARRAY($A$2),
  _xlpm.CatsAll,_xlfn.XLOOKUP(_xlpm.IDs,DataSpiele!$A$2:$A$99814,DataSpiele!$A$2:$A$99814,""),
  _xlpm.n,MIN(15,ROWS(_xlpm.CatsAll)),
  _xlpm.Start,ROWS(_xlpm.CatsAll)-_xlpm.n+1,
  _xlpm.Cats,INDEX(_xlpm.CatsAll,_xlfn.SEQUENCE(_xlpm.n,1,_xlpm.Start,1)),
  _xlpm.i,ROW()-ROW($M$13)+1,
  IF(_xlpm.i&gt;_xlpm.n,"",INDEX(_xlpm.Cats,_xlpm.i))
),
""
)</f>
        <v/>
      </c>
      <c r="N16" s="20">
        <f>IFERROR(_xlfn.XLOOKUP($M$16,DataSpiele!$A:$A,DataSpiele!$H:$H,""),"")</f>
        <v/>
      </c>
      <c r="O16" s="21">
        <f>IF(OR(N16="Sieg",N16="Niederlage"),IF(N16=N15,O15+1,1),"")</f>
        <v/>
      </c>
      <c r="P16" s="21">
        <f>IFERROR(
_xlfn.LET(
  _xlpm.id, $M16,
  _xlpm.seite, _xlfn.XLOOKUP(_xlpm.id, DataSpiele!$A:$A, DataSpiele!$I:$I),
  _xlpm.heim,  _xlfn.XLOOKUP(_xlpm.id, DataSpiele!$A:$A, DataSpiele!$D:$D),
  _xlpm.aus,   _xlfn.XLOOKUP(_xlpm.id, DataSpiele!$A:$A, DataSpiele!$E:$E),
  IF(_xlpm.seite="Heim", _xlpm.heim &amp; " : " &amp; _xlpm.aus, _xlpm.aus &amp; " : " &amp; _xlpm.heim)
),
""
)</f>
        <v/>
      </c>
    </row>
    <row r="17" ht="17" customHeight="1" s="87" thickBot="1">
      <c r="A17" s="1" t="n"/>
      <c r="B17" s="1" t="n"/>
      <c r="C17" s="55" t="inlineStr">
        <is>
          <t>J. Zanetti</t>
        </is>
      </c>
      <c r="D17" s="53" t="n"/>
      <c r="E17" s="8">
        <f t="array" ref="E17">SUMPRODUCT(
  --(DataSpieler!$C$2:$C$97619=$C17),
  --(DataSpieler!$E$2:$E$97619&gt;0),
  --ISNUMBER(MATCH(DataSpieler!$A$2:$A$97619,_xlfn.ANCHORARRAY($A$2),0))
)</f>
        <v/>
      </c>
      <c r="F17" s="9">
        <f t="array" ref="F17">SUMPRODUCT(
  DataSpieler!$F$2:$F$97619,
  --(DataSpieler!$C$2:$C$97619=C17),
  --ISNUMBER(MATCH(DataSpieler!$A$2:$A$97619,_xlfn.ANCHORARRAY($A$2),0))
)</f>
        <v/>
      </c>
      <c r="G17" s="9">
        <f t="array" ref="G17">SUMPRODUCT(
  DataSpieler!$G$2:$G$97619,
  --(DataSpieler!$C$2:$C$97619=C17),
  --ISNUMBER(MATCH(DataSpieler!$A$2:$A$97619,_xlfn.ANCHORARRAY($A$2),0))
)</f>
        <v/>
      </c>
      <c r="H17" s="9">
        <f>F17+G17</f>
        <v/>
      </c>
      <c r="I17" s="9">
        <f t="array" ref="I17">SUMPRODUCT(
  --(DataSpieler!$C$2:$C$97619=C17),
  --(DataSpieler!$H$2:$H$97619="x"),
  --ISNUMBER(MATCH(DataSpieler!$A$2:$A$97619,_xlfn.ANCHORARRAY($A$2),0))
)</f>
        <v/>
      </c>
      <c r="J17" s="10">
        <f t="array" ref="J17">IFERROR(
  AVERAGE(
    _xlfn._xlws.FILTER(
      DataSpieler!$E$2:$E$97619,
      (DataSpieler!$C$2:$C$97619=C17) *
      ISNUMBER(MATCH(DataSpieler!$A$2:$A$97619,_xlfn.ANCHORARRAY($A$2),0))
    )
  ),
  ""
)</f>
        <v/>
      </c>
      <c r="L17" s="23" t="n">
        <v>5</v>
      </c>
      <c r="M17" s="20">
        <f t="array" ref="M17">IFERROR(
_xlfn.LET(
  _xlpm.IDs,_xlfn.ANCHORARRAY($A$2),
  _xlpm.CatsAll,_xlfn.XLOOKUP(_xlpm.IDs,DataSpiele!$A$2:$A$99814,DataSpiele!$A$2:$A$99814,""),
  _xlpm.n,MIN(15,ROWS(_xlpm.CatsAll)),
  _xlpm.Start,ROWS(_xlpm.CatsAll)-_xlpm.n+1,
  _xlpm.Cats,INDEX(_xlpm.CatsAll,_xlfn.SEQUENCE(_xlpm.n,1,_xlpm.Start,1)),
  _xlpm.i,ROW()-ROW($M$13)+1,
  IF(_xlpm.i&gt;_xlpm.n,"",INDEX(_xlpm.Cats,_xlpm.i))
),
""
)</f>
        <v/>
      </c>
      <c r="N17" s="20">
        <f>IFERROR(_xlfn.XLOOKUP($M$17,DataSpiele!$A:$A,DataSpiele!$H:$H,""),"")</f>
        <v/>
      </c>
      <c r="O17" s="21">
        <f>IF(OR(N17="Sieg",N17="Niederlage"),IF(N17=N16,O16+1,1),"")</f>
        <v/>
      </c>
      <c r="P17" s="21">
        <f>IFERROR(
_xlfn.LET(
  _xlpm.id, $M17,
  _xlpm.seite, _xlfn.XLOOKUP(_xlpm.id, DataSpiele!$A:$A, DataSpiele!$I:$I),
  _xlpm.heim,  _xlfn.XLOOKUP(_xlpm.id, DataSpiele!$A:$A, DataSpiele!$D:$D),
  _xlpm.aus,   _xlfn.XLOOKUP(_xlpm.id, DataSpiele!$A:$A, DataSpiele!$E:$E),
  IF(_xlpm.seite="Heim", _xlpm.heim &amp; " : " &amp; _xlpm.aus, _xlpm.aus &amp; " : " &amp; _xlpm.heim)
),
""
)</f>
        <v/>
      </c>
    </row>
    <row r="18" ht="17" customHeight="1" s="87" thickBot="1">
      <c r="A18" s="1" t="n"/>
      <c r="B18" s="1" t="n"/>
      <c r="C18" s="55" t="inlineStr">
        <is>
          <t>O. Battle</t>
        </is>
      </c>
      <c r="D18" s="53" t="n"/>
      <c r="E18" s="8">
        <f t="array" ref="E18">SUMPRODUCT(
  --(DataSpieler!$C$2:$C$97619=$C18),
  --(DataSpieler!$E$2:$E$97619&gt;0),
  --ISNUMBER(MATCH(DataSpieler!$A$2:$A$97619,_xlfn.ANCHORARRAY($A$2),0))
)</f>
        <v/>
      </c>
      <c r="F18" s="9">
        <f t="array" ref="F18">SUMPRODUCT(
  DataSpieler!$F$2:$F$97619,
  --(DataSpieler!$C$2:$C$97619=C18),
  --ISNUMBER(MATCH(DataSpieler!$A$2:$A$97619,_xlfn.ANCHORARRAY($A$2),0))
)</f>
        <v/>
      </c>
      <c r="G18" s="9">
        <f t="array" ref="G18">SUMPRODUCT(
  DataSpieler!$G$2:$G$97619,
  --(DataSpieler!$C$2:$C$97619=C18),
  --ISNUMBER(MATCH(DataSpieler!$A$2:$A$97619,_xlfn.ANCHORARRAY($A$2),0))
)</f>
        <v/>
      </c>
      <c r="H18" s="9">
        <f>F18+G18</f>
        <v/>
      </c>
      <c r="I18" s="9">
        <f t="array" ref="I18">SUMPRODUCT(
  --(DataSpieler!$C$2:$C$97619=C18),
  --(DataSpieler!$H$2:$H$97619="x"),
  --ISNUMBER(MATCH(DataSpieler!$A$2:$A$97619,_xlfn.ANCHORARRAY($A$2),0))
)</f>
        <v/>
      </c>
      <c r="J18" s="10">
        <f t="array" ref="J18">IFERROR(
  AVERAGE(
    _xlfn._xlws.FILTER(
      DataSpieler!$E$2:$E$97619,
      (DataSpieler!$C$2:$C$97619=C18) *
      ISNUMBER(MATCH(DataSpieler!$A$2:$A$97619,_xlfn.ANCHORARRAY($A$2),0))
    )
  ),
  ""
)</f>
        <v/>
      </c>
      <c r="L18" s="23" t="n">
        <v>6</v>
      </c>
      <c r="M18" s="20">
        <f t="array" ref="M18">IFERROR(
_xlfn.LET(
  _xlpm.IDs,_xlfn.ANCHORARRAY($A$2),
  _xlpm.CatsAll,_xlfn.XLOOKUP(_xlpm.IDs,DataSpiele!$A$2:$A$99814,DataSpiele!$A$2:$A$99814,""),
  _xlpm.n,MIN(15,ROWS(_xlpm.CatsAll)),
  _xlpm.Start,ROWS(_xlpm.CatsAll)-_xlpm.n+1,
  _xlpm.Cats,INDEX(_xlpm.CatsAll,_xlfn.SEQUENCE(_xlpm.n,1,_xlpm.Start,1)),
  _xlpm.i,ROW()-ROW($M$13)+1,
  IF(_xlpm.i&gt;_xlpm.n,"",INDEX(_xlpm.Cats,_xlpm.i))
),
""
)</f>
        <v/>
      </c>
      <c r="N18" s="20">
        <f>IFERROR(_xlfn.XLOOKUP($M$18,DataSpiele!$A:$A,DataSpiele!$H:$H,""),"")</f>
        <v/>
      </c>
      <c r="O18" s="21">
        <f>IF(OR(N18="Sieg",N18="Niederlage"),IF(N18=N17,O17+1,1),"")</f>
        <v/>
      </c>
      <c r="P18" s="21">
        <f>IFERROR(
_xlfn.LET(
  _xlpm.id, $M18,
  _xlpm.seite, _xlfn.XLOOKUP(_xlpm.id, DataSpiele!$A:$A, DataSpiele!$I:$I),
  _xlpm.heim,  _xlfn.XLOOKUP(_xlpm.id, DataSpiele!$A:$A, DataSpiele!$D:$D),
  _xlpm.aus,   _xlfn.XLOOKUP(_xlpm.id, DataSpiele!$A:$A, DataSpiele!$E:$E),
  IF(_xlpm.seite="Heim", _xlpm.heim &amp; " : " &amp; _xlpm.aus, _xlpm.aus &amp; " : " &amp; _xlpm.heim)
),
""
)</f>
        <v/>
      </c>
    </row>
    <row r="19" ht="17" customHeight="1" s="87" thickBot="1">
      <c r="A19" s="1" t="n"/>
      <c r="B19" s="1" t="n"/>
      <c r="C19" s="55" t="inlineStr">
        <is>
          <t>M. Salah</t>
        </is>
      </c>
      <c r="D19" s="53" t="n"/>
      <c r="E19" s="8">
        <f t="array" ref="E19">SUMPRODUCT(
  --(DataSpieler!$C$2:$C$97619=$C19),
  --(DataSpieler!$E$2:$E$97619&gt;0),
  --ISNUMBER(MATCH(DataSpieler!$A$2:$A$97619,_xlfn.ANCHORARRAY($A$2),0))
)</f>
        <v/>
      </c>
      <c r="F19" s="9">
        <f t="array" ref="F19">SUMPRODUCT(
  DataSpieler!$F$2:$F$97619,
  --(DataSpieler!$C$2:$C$97619=C19),
  --ISNUMBER(MATCH(DataSpieler!$A$2:$A$97619,_xlfn.ANCHORARRAY($A$2),0))
)</f>
        <v/>
      </c>
      <c r="G19" s="9">
        <f t="array" ref="G19">SUMPRODUCT(
  DataSpieler!$G$2:$G$97619,
  --(DataSpieler!$C$2:$C$97619=C19),
  --ISNUMBER(MATCH(DataSpieler!$A$2:$A$97619,_xlfn.ANCHORARRAY($A$2),0))
)</f>
        <v/>
      </c>
      <c r="H19" s="9">
        <f>F19+G19</f>
        <v/>
      </c>
      <c r="I19" s="9">
        <f t="array" ref="I19">SUMPRODUCT(
  --(DataSpieler!$C$2:$C$97619=C19),
  --(DataSpieler!$H$2:$H$97619="x"),
  --ISNUMBER(MATCH(DataSpieler!$A$2:$A$97619,_xlfn.ANCHORARRAY($A$2),0))
)</f>
        <v/>
      </c>
      <c r="J19" s="10">
        <f t="array" ref="J19">IFERROR(
  AVERAGE(
    _xlfn._xlws.FILTER(
      DataSpieler!$E$2:$E$97619,
      (DataSpieler!$C$2:$C$97619=C19) *
      ISNUMBER(MATCH(DataSpieler!$A$2:$A$97619,_xlfn.ANCHORARRAY($A$2),0))
    )
  ),
  ""
)</f>
        <v/>
      </c>
      <c r="L19" s="23" t="n">
        <v>7</v>
      </c>
      <c r="M19" s="20">
        <f t="array" ref="M19">IFERROR(
_xlfn.LET(
  _xlpm.IDs,_xlfn.ANCHORARRAY($A$2),
  _xlpm.CatsAll,_xlfn.XLOOKUP(_xlpm.IDs,DataSpiele!$A$2:$A$99814,DataSpiele!$A$2:$A$99814,""),
  _xlpm.n,MIN(15,ROWS(_xlpm.CatsAll)),
  _xlpm.Start,ROWS(_xlpm.CatsAll)-_xlpm.n+1,
  _xlpm.Cats,INDEX(_xlpm.CatsAll,_xlfn.SEQUENCE(_xlpm.n,1,_xlpm.Start,1)),
  _xlpm.i,ROW()-ROW($M$13)+1,
  IF(_xlpm.i&gt;_xlpm.n,"",INDEX(_xlpm.Cats,_xlpm.i))
),
""
)</f>
        <v/>
      </c>
      <c r="N19" s="20">
        <f>IFERROR(_xlfn.XLOOKUP($M$19,DataSpiele!$A:$A,DataSpiele!$H:$H,""),"")</f>
        <v/>
      </c>
      <c r="O19" s="21">
        <f>IF(OR(N19="Sieg",N19="Niederlage"),IF(N19=N18,O18+1,1),"")</f>
        <v/>
      </c>
      <c r="P19" s="21">
        <f>IFERROR(
_xlfn.LET(
  _xlpm.id, $M19,
  _xlpm.seite, _xlfn.XLOOKUP(_xlpm.id, DataSpiele!$A:$A, DataSpiele!$I:$I),
  _xlpm.heim,  _xlfn.XLOOKUP(_xlpm.id, DataSpiele!$A:$A, DataSpiele!$D:$D),
  _xlpm.aus,   _xlfn.XLOOKUP(_xlpm.id, DataSpiele!$A:$A, DataSpiele!$E:$E),
  IF(_xlpm.seite="Heim", _xlpm.heim &amp; " : " &amp; _xlpm.aus, _xlpm.aus &amp; " : " &amp; _xlpm.heim)
),
""
)</f>
        <v/>
      </c>
    </row>
    <row r="20" ht="17" customHeight="1" s="87" thickBot="1">
      <c r="A20" s="1" t="n"/>
      <c r="B20" s="1" t="n"/>
      <c r="C20" s="55" t="inlineStr">
        <is>
          <t>G. Chiellini</t>
        </is>
      </c>
      <c r="D20" s="53" t="n"/>
      <c r="E20" s="8">
        <f t="array" ref="E20">SUMPRODUCT(
  --(DataSpieler!$C$2:$C$97619=$C20),
  --(DataSpieler!$E$2:$E$97619&gt;0),
  --ISNUMBER(MATCH(DataSpieler!$A$2:$A$97619,_xlfn.ANCHORARRAY($A$2),0))
)</f>
        <v/>
      </c>
      <c r="F20" s="9">
        <f t="array" ref="F20">SUMPRODUCT(
  DataSpieler!$F$2:$F$97619,
  --(DataSpieler!$C$2:$C$97619=C20),
  --ISNUMBER(MATCH(DataSpieler!$A$2:$A$97619,_xlfn.ANCHORARRAY($A$2),0))
)</f>
        <v/>
      </c>
      <c r="G20" s="9">
        <f t="array" ref="G20">SUMPRODUCT(
  DataSpieler!$G$2:$G$97619,
  --(DataSpieler!$C$2:$C$97619=C20),
  --ISNUMBER(MATCH(DataSpieler!$A$2:$A$97619,_xlfn.ANCHORARRAY($A$2),0))
)</f>
        <v/>
      </c>
      <c r="H20" s="9">
        <f>F20+G20</f>
        <v/>
      </c>
      <c r="I20" s="9">
        <f t="array" ref="I20">SUMPRODUCT(
  --(DataSpieler!$C$2:$C$97619=C20),
  --(DataSpieler!$H$2:$H$97619="x"),
  --ISNUMBER(MATCH(DataSpieler!$A$2:$A$97619,_xlfn.ANCHORARRAY($A$2),0))
)</f>
        <v/>
      </c>
      <c r="J20" s="10">
        <f t="array" ref="J20">IFERROR(
  AVERAGE(
    _xlfn._xlws.FILTER(
      DataSpieler!$E$2:$E$97619,
      (DataSpieler!$C$2:$C$97619=C20) *
      ISNUMBER(MATCH(DataSpieler!$A$2:$A$97619,_xlfn.ANCHORARRAY($A$2),0))
    )
  ),
  ""
)</f>
        <v/>
      </c>
      <c r="L20" s="23" t="n">
        <v>8</v>
      </c>
      <c r="M20" s="20">
        <f t="array" ref="M20">IFERROR(
_xlfn.LET(
  _xlpm.IDs,_xlfn.ANCHORARRAY($A$2),
  _xlpm.CatsAll,_xlfn.XLOOKUP(_xlpm.IDs,DataSpiele!$A$2:$A$99814,DataSpiele!$A$2:$A$99814,""),
  _xlpm.n,MIN(15,ROWS(_xlpm.CatsAll)),
  _xlpm.Start,ROWS(_xlpm.CatsAll)-_xlpm.n+1,
  _xlpm.Cats,INDEX(_xlpm.CatsAll,_xlfn.SEQUENCE(_xlpm.n,1,_xlpm.Start,1)),
  _xlpm.i,ROW()-ROW($M$13)+1,
  IF(_xlpm.i&gt;_xlpm.n,"",INDEX(_xlpm.Cats,_xlpm.i))
),
""
)</f>
        <v/>
      </c>
      <c r="N20" s="20">
        <f>IFERROR(_xlfn.XLOOKUP($M$20,DataSpiele!$A:$A,DataSpiele!$H:$H,""),"")</f>
        <v/>
      </c>
      <c r="O20" s="21">
        <f>IF(OR(N20="Sieg",N20="Niederlage"),IF(N20=N19,O19+1,1),"")</f>
        <v/>
      </c>
      <c r="P20" s="21">
        <f>IFERROR(
_xlfn.LET(
  _xlpm.id, $M20,
  _xlpm.seite, _xlfn.XLOOKUP(_xlpm.id, DataSpiele!$A:$A, DataSpiele!$I:$I),
  _xlpm.heim,  _xlfn.XLOOKUP(_xlpm.id, DataSpiele!$A:$A, DataSpiele!$D:$D),
  _xlpm.aus,   _xlfn.XLOOKUP(_xlpm.id, DataSpiele!$A:$A, DataSpiele!$E:$E),
  IF(_xlpm.seite="Heim", _xlpm.heim &amp; " : " &amp; _xlpm.aus, _xlpm.aus &amp; " : " &amp; _xlpm.heim)
),
""
)</f>
        <v/>
      </c>
    </row>
    <row r="21" ht="17" customHeight="1" s="87" thickBot="1">
      <c r="A21" s="1" t="n"/>
      <c r="B21" s="1" t="n"/>
      <c r="C21" s="55" t="inlineStr">
        <is>
          <t>S. Doumbia</t>
        </is>
      </c>
      <c r="D21" s="53" t="n"/>
      <c r="E21" s="8">
        <f t="array" ref="E21">SUMPRODUCT(
  --(DataSpieler!$C$2:$C$97619=$C21),
  --(DataSpieler!$E$2:$E$97619&gt;0),
  --ISNUMBER(MATCH(DataSpieler!$A$2:$A$97619,_xlfn.ANCHORARRAY($A$2),0))
)</f>
        <v/>
      </c>
      <c r="F21" s="9">
        <f t="array" ref="F21">SUMPRODUCT(
  DataSpieler!$F$2:$F$97619,
  --(DataSpieler!$C$2:$C$97619=C21),
  --ISNUMBER(MATCH(DataSpieler!$A$2:$A$97619,_xlfn.ANCHORARRAY($A$2),0))
)</f>
        <v/>
      </c>
      <c r="G21" s="9">
        <f t="array" ref="G21">SUMPRODUCT(
  DataSpieler!$G$2:$G$97619,
  --(DataSpieler!$C$2:$C$97619=C21),
  --ISNUMBER(MATCH(DataSpieler!$A$2:$A$97619,_xlfn.ANCHORARRAY($A$2),0))
)</f>
        <v/>
      </c>
      <c r="H21" s="9">
        <f>F21+G21</f>
        <v/>
      </c>
      <c r="I21" s="9">
        <f t="array" ref="I21">SUMPRODUCT(
  --(DataSpieler!$C$2:$C$97619=C21),
  --(DataSpieler!$H$2:$H$97619="x"),
  --ISNUMBER(MATCH(DataSpieler!$A$2:$A$97619,_xlfn.ANCHORARRAY($A$2),0))
)</f>
        <v/>
      </c>
      <c r="J21" s="10">
        <f t="array" ref="J21">IFERROR(
  AVERAGE(
    _xlfn._xlws.FILTER(
      DataSpieler!$E$2:$E$97619,
      (DataSpieler!$C$2:$C$97619=C21) *
      ISNUMBER(MATCH(DataSpieler!$A$2:$A$97619,_xlfn.ANCHORARRAY($A$2),0))
    )
  ),
  ""
)</f>
        <v/>
      </c>
      <c r="L21" s="23" t="n">
        <v>9</v>
      </c>
      <c r="M21" s="20">
        <f t="array" ref="M21">IFERROR(
_xlfn.LET(
  _xlpm.IDs,_xlfn.ANCHORARRAY($A$2),
  _xlpm.CatsAll,_xlfn.XLOOKUP(_xlpm.IDs,DataSpiele!$A$2:$A$99814,DataSpiele!$A$2:$A$99814,""),
  _xlpm.n,MIN(15,ROWS(_xlpm.CatsAll)),
  _xlpm.Start,ROWS(_xlpm.CatsAll)-_xlpm.n+1,
  _xlpm.Cats,INDEX(_xlpm.CatsAll,_xlfn.SEQUENCE(_xlpm.n,1,_xlpm.Start,1)),
  _xlpm.i,ROW()-ROW($M$13)+1,
  IF(_xlpm.i&gt;_xlpm.n,"",INDEX(_xlpm.Cats,_xlpm.i))
),
""
)</f>
        <v/>
      </c>
      <c r="N21" s="20">
        <f>IFERROR(_xlfn.XLOOKUP($M$21,DataSpiele!$A:$A,DataSpiele!$H:$H,""),"")</f>
        <v/>
      </c>
      <c r="O21" s="21">
        <f>IF(OR(N21="Sieg",N21="Niederlage"),IF(N21=N20,O20+1,1),"")</f>
        <v/>
      </c>
      <c r="P21" s="21">
        <f>IFERROR(
_xlfn.LET(
  _xlpm.id, $M21,
  _xlpm.seite, _xlfn.XLOOKUP(_xlpm.id, DataSpiele!$A:$A, DataSpiele!$I:$I),
  _xlpm.heim,  _xlfn.XLOOKUP(_xlpm.id, DataSpiele!$A:$A, DataSpiele!$D:$D),
  _xlpm.aus,   _xlfn.XLOOKUP(_xlpm.id, DataSpiele!$A:$A, DataSpiele!$E:$E),
  IF(_xlpm.seite="Heim", _xlpm.heim &amp; " : " &amp; _xlpm.aus, _xlpm.aus &amp; " : " &amp; _xlpm.heim)
),
""
)</f>
        <v/>
      </c>
    </row>
    <row r="22" ht="17" customHeight="1" s="87" thickBot="1">
      <c r="A22" s="1" t="n"/>
      <c r="B22" s="1" t="n"/>
      <c r="C22" s="55" t="inlineStr">
        <is>
          <t>T. Bischof</t>
        </is>
      </c>
      <c r="D22" s="53" t="n"/>
      <c r="E22" s="8">
        <f t="array" ref="E22">SUMPRODUCT(
  --(DataSpieler!$C$2:$C$97619=$C22),
  --(DataSpieler!$E$2:$E$97619&gt;0),
  --ISNUMBER(MATCH(DataSpieler!$A$2:$A$97619,_xlfn.ANCHORARRAY($A$2),0))
)</f>
        <v/>
      </c>
      <c r="F22" s="9">
        <f t="array" ref="F22">SUMPRODUCT(
  DataSpieler!$F$2:$F$97619,
  --(DataSpieler!$C$2:$C$97619=C22),
  --ISNUMBER(MATCH(DataSpieler!$A$2:$A$97619,_xlfn.ANCHORARRAY($A$2),0))
)</f>
        <v/>
      </c>
      <c r="G22" s="9">
        <f t="array" ref="G22">SUMPRODUCT(
  DataSpieler!$G$2:$G$97619,
  --(DataSpieler!$C$2:$C$97619=C22),
  --ISNUMBER(MATCH(DataSpieler!$A$2:$A$97619,_xlfn.ANCHORARRAY($A$2),0))
)</f>
        <v/>
      </c>
      <c r="H22" s="9">
        <f>F22+G22</f>
        <v/>
      </c>
      <c r="I22" s="9">
        <f t="array" ref="I22">SUMPRODUCT(
  --(DataSpieler!$C$2:$C$97619=C22),
  --(DataSpieler!$H$2:$H$97619="x"),
  --ISNUMBER(MATCH(DataSpieler!$A$2:$A$97619,_xlfn.ANCHORARRAY($A$2),0))
)</f>
        <v/>
      </c>
      <c r="J22" s="10">
        <f t="array" ref="J22">IFERROR(
  AVERAGE(
    _xlfn._xlws.FILTER(
      DataSpieler!$E$2:$E$97619,
      (DataSpieler!$C$2:$C$97619=C22) *
      ISNUMBER(MATCH(DataSpieler!$A$2:$A$97619,_xlfn.ANCHORARRAY($A$2),0))
    )
  ),
  ""
)</f>
        <v/>
      </c>
      <c r="L22" s="23" t="n">
        <v>10</v>
      </c>
      <c r="M22" s="20">
        <f t="array" ref="M22">IFERROR(
_xlfn.LET(
  _xlpm.IDs,_xlfn.ANCHORARRAY($A$2),
  _xlpm.CatsAll,_xlfn.XLOOKUP(_xlpm.IDs,DataSpiele!$A$2:$A$99814,DataSpiele!$A$2:$A$99814,""),
  _xlpm.n,MIN(15,ROWS(_xlpm.CatsAll)),
  _xlpm.Start,ROWS(_xlpm.CatsAll)-_xlpm.n+1,
  _xlpm.Cats,INDEX(_xlpm.CatsAll,_xlfn.SEQUENCE(_xlpm.n,1,_xlpm.Start,1)),
  _xlpm.i,ROW()-ROW($M$13)+1,
  IF(_xlpm.i&gt;_xlpm.n,"",INDEX(_xlpm.Cats,_xlpm.i))
),
""
)</f>
        <v/>
      </c>
      <c r="N22" s="20">
        <f>IFERROR(_xlfn.XLOOKUP($M$22,DataSpiele!$A:$A,DataSpiele!$H:$H,""),"")</f>
        <v/>
      </c>
      <c r="O22" s="21">
        <f>IF(OR(N22="Sieg",N22="Niederlage"),IF(N22=N21,O21+1,1),"")</f>
        <v/>
      </c>
      <c r="P22" s="21">
        <f>IFERROR(
_xlfn.LET(
  _xlpm.id, $M22,
  _xlpm.seite, _xlfn.XLOOKUP(_xlpm.id, DataSpiele!$A:$A, DataSpiele!$I:$I),
  _xlpm.heim,  _xlfn.XLOOKUP(_xlpm.id, DataSpiele!$A:$A, DataSpiele!$D:$D),
  _xlpm.aus,   _xlfn.XLOOKUP(_xlpm.id, DataSpiele!$A:$A, DataSpiele!$E:$E),
  IF(_xlpm.seite="Heim", _xlpm.heim &amp; " : " &amp; _xlpm.aus, _xlpm.aus &amp; " : " &amp; _xlpm.heim)
),
""
)</f>
        <v/>
      </c>
    </row>
    <row r="23" ht="17" customHeight="1" s="87" thickBot="1">
      <c r="A23" s="1" t="n"/>
      <c r="B23" s="1" t="n"/>
      <c r="C23" s="54" t="inlineStr">
        <is>
          <t>Legacy</t>
        </is>
      </c>
      <c r="D23" s="53" t="n"/>
      <c r="E23" s="2" t="inlineStr">
        <is>
          <t>Games</t>
        </is>
      </c>
      <c r="F23" s="3" t="inlineStr">
        <is>
          <t>Goals</t>
        </is>
      </c>
      <c r="G23" s="4" t="inlineStr">
        <is>
          <t>Assists</t>
        </is>
      </c>
      <c r="H23" s="5" t="inlineStr">
        <is>
          <t>Contributions</t>
        </is>
      </c>
      <c r="I23" s="6" t="inlineStr">
        <is>
          <t>MOTM</t>
        </is>
      </c>
      <c r="J23" s="7" t="inlineStr">
        <is>
          <t>Avg. Rating</t>
        </is>
      </c>
      <c r="L23" s="23" t="n">
        <v>11</v>
      </c>
      <c r="M23" s="20">
        <f t="array" ref="M23">IFERROR(
_xlfn.LET(
  _xlpm.IDs,_xlfn.ANCHORARRAY($A$2),
  _xlpm.CatsAll,_xlfn.XLOOKUP(_xlpm.IDs,DataSpiele!$A$2:$A$99814,DataSpiele!$A$2:$A$99814,""),
  _xlpm.n,MIN(15,ROWS(_xlpm.CatsAll)),
  _xlpm.Start,ROWS(_xlpm.CatsAll)-_xlpm.n+1,
  _xlpm.Cats,INDEX(_xlpm.CatsAll,_xlfn.SEQUENCE(_xlpm.n,1,_xlpm.Start,1)),
  _xlpm.i,ROW()-ROW($M$13)+1,
  IF(_xlpm.i&gt;_xlpm.n,"",INDEX(_xlpm.Cats,_xlpm.i))
),
""
)</f>
        <v/>
      </c>
      <c r="N23" s="20">
        <f>IFERROR(_xlfn.XLOOKUP($M$23,DataSpiele!$A:$A,DataSpiele!$H:$H,""),"")</f>
        <v/>
      </c>
      <c r="O23" s="21">
        <f>IF(OR(N23="Sieg",N23="Niederlage"),IF(N23=N22,O22+1,1),"")</f>
        <v/>
      </c>
      <c r="P23" s="21">
        <f>IFERROR(
_xlfn.LET(
  _xlpm.id, $M23,
  _xlpm.seite, _xlfn.XLOOKUP(_xlpm.id, DataSpiele!$A:$A, DataSpiele!$I:$I),
  _xlpm.heim,  _xlfn.XLOOKUP(_xlpm.id, DataSpiele!$A:$A, DataSpiele!$D:$D),
  _xlpm.aus,   _xlfn.XLOOKUP(_xlpm.id, DataSpiele!$A:$A, DataSpiele!$E:$E),
  IF(_xlpm.seite="Heim", _xlpm.heim &amp; " : " &amp; _xlpm.aus, _xlpm.aus &amp; " : " &amp; _xlpm.heim)
),
""
)</f>
        <v/>
      </c>
    </row>
    <row r="24" ht="17" customHeight="1" s="87" thickBot="1">
      <c r="A24" s="1" t="n"/>
      <c r="B24" s="1" t="n"/>
      <c r="C24" s="55" t="inlineStr">
        <is>
          <t>T. Courtois</t>
        </is>
      </c>
      <c r="D24" s="53" t="n"/>
      <c r="E24" s="8">
        <f t="array" ref="E24">SUMPRODUCT(
  --(DataSpieler!$C$2:$C$97619=$C24),
  --(DataSpieler!$E$2:$E$97619&gt;0),
  --ISNUMBER(MATCH(DataSpieler!$A$2:$A$97619,_xlfn.ANCHORARRAY($A$2),0))
)</f>
        <v/>
      </c>
      <c r="F24" s="9">
        <f t="array" ref="F24">SUMPRODUCT(
  DataSpieler!$F$2:$F$97619,
  --(DataSpieler!$C$2:$C$97619=C24),
  --ISNUMBER(MATCH(DataSpieler!$A$2:$A$97619,_xlfn.ANCHORARRAY($A$2),0))
)</f>
        <v/>
      </c>
      <c r="G24" s="9">
        <f t="array" ref="G24">SUMPRODUCT(
  DataSpieler!$G$2:$G$97619,
  --(DataSpieler!$C$2:$C$97619=C24),
  --ISNUMBER(MATCH(DataSpieler!$A$2:$A$97619,_xlfn.ANCHORARRAY($A$2),0))
)</f>
        <v/>
      </c>
      <c r="H24" s="9">
        <f>F24+G24</f>
        <v/>
      </c>
      <c r="I24" s="9">
        <f t="array" ref="I24">SUMPRODUCT(
  --(DataSpieler!$C$2:$C$97619=C24),
  --(DataSpieler!$H$2:$H$97619="x"),
  --ISNUMBER(MATCH(DataSpieler!$A$2:$A$97619,_xlfn.ANCHORARRAY($A$2),0))
)</f>
        <v/>
      </c>
      <c r="J24" s="10">
        <f t="array" ref="J24">IFERROR(
  AVERAGE(
    _xlfn._xlws.FILTER(
      DataSpieler!$E$2:$E$97619,
      (DataSpieler!$C$2:$C$97619=C24) *
      ISNUMBER(MATCH(DataSpieler!$A$2:$A$97619,_xlfn.ANCHORARRAY($A$2),0))
    )
  ),
  ""
)</f>
        <v/>
      </c>
      <c r="L24" s="23" t="n">
        <v>12</v>
      </c>
      <c r="M24" s="20">
        <f t="array" ref="M24">IFERROR(
_xlfn.LET(
  _xlpm.IDs,_xlfn.ANCHORARRAY($A$2),
  _xlpm.CatsAll,_xlfn.XLOOKUP(_xlpm.IDs,DataSpiele!$A$2:$A$99814,DataSpiele!$A$2:$A$99814,""),
  _xlpm.n,MIN(15,ROWS(_xlpm.CatsAll)),
  _xlpm.Start,ROWS(_xlpm.CatsAll)-_xlpm.n+1,
  _xlpm.Cats,INDEX(_xlpm.CatsAll,_xlfn.SEQUENCE(_xlpm.n,1,_xlpm.Start,1)),
  _xlpm.i,ROW()-ROW($M$13)+1,
  IF(_xlpm.i&gt;_xlpm.n,"",INDEX(_xlpm.Cats,_xlpm.i))
),
""
)</f>
        <v/>
      </c>
      <c r="N24" s="20">
        <f>IFERROR(_xlfn.XLOOKUP($M$24,DataSpiele!$A:$A,DataSpiele!$H:$H,""),"")</f>
        <v/>
      </c>
      <c r="O24" s="21">
        <f>IF(OR(N24="Sieg",N24="Niederlage"),IF(N24=N23,O23+1,1),"")</f>
        <v/>
      </c>
      <c r="P24" s="21">
        <f>IFERROR(
_xlfn.LET(
  _xlpm.id, $M24,
  _xlpm.seite, _xlfn.XLOOKUP(_xlpm.id, DataSpiele!$A:$A, DataSpiele!$I:$I),
  _xlpm.heim,  _xlfn.XLOOKUP(_xlpm.id, DataSpiele!$A:$A, DataSpiele!$D:$D),
  _xlpm.aus,   _xlfn.XLOOKUP(_xlpm.id, DataSpiele!$A:$A, DataSpiele!$E:$E),
  IF(_xlpm.seite="Heim", _xlpm.heim &amp; " : " &amp; _xlpm.aus, _xlpm.aus &amp; " : " &amp; _xlpm.heim)
),
""
)</f>
        <v/>
      </c>
    </row>
    <row r="25" ht="17" customHeight="1" s="87" thickBot="1">
      <c r="A25" s="1" t="n"/>
      <c r="B25" s="1" t="n"/>
      <c r="C25" s="55" t="inlineStr">
        <is>
          <t>M. Desailly</t>
        </is>
      </c>
      <c r="D25" s="53" t="n"/>
      <c r="E25" s="8">
        <f t="array" ref="E25">SUMPRODUCT(
  --(DataSpieler!$C$2:$C$97619=$C25),
  --(DataSpieler!$E$2:$E$97619&gt;0),
  --ISNUMBER(MATCH(DataSpieler!$A$2:$A$97619,_xlfn.ANCHORARRAY($A$2),0))
)</f>
        <v/>
      </c>
      <c r="F25" s="9">
        <f t="array" ref="F25">SUMPRODUCT(
  DataSpieler!$F$2:$F$97619,
  --(DataSpieler!$C$2:$C$97619=C25),
  --ISNUMBER(MATCH(DataSpieler!$A$2:$A$97619,_xlfn.ANCHORARRAY($A$2),0))
)</f>
        <v/>
      </c>
      <c r="G25" s="9">
        <f t="array" ref="G25">SUMPRODUCT(
  DataSpieler!$G$2:$G$97619,
  --(DataSpieler!$C$2:$C$97619=C25),
  --ISNUMBER(MATCH(DataSpieler!$A$2:$A$97619,_xlfn.ANCHORARRAY($A$2),0))
)</f>
        <v/>
      </c>
      <c r="H25" s="9">
        <f>F25+G25</f>
        <v/>
      </c>
      <c r="I25" s="9">
        <f t="array" ref="I25">SUMPRODUCT(
  --(DataSpieler!$C$2:$C$97619=C25),
  --(DataSpieler!$H$2:$H$97619="x"),
  --ISNUMBER(MATCH(DataSpieler!$A$2:$A$97619,_xlfn.ANCHORARRAY($A$2),0))
)</f>
        <v/>
      </c>
      <c r="J25" s="10">
        <f t="array" ref="J25">IFERROR(
  AVERAGE(
    _xlfn._xlws.FILTER(
      DataSpieler!$E$2:$E$97619,
      (DataSpieler!$C$2:$C$97619=C25) *
      ISNUMBER(MATCH(DataSpieler!$A$2:$A$97619,_xlfn.ANCHORARRAY($A$2),0))
    )
  ),
  ""
)</f>
        <v/>
      </c>
      <c r="L25" s="23" t="n">
        <v>13</v>
      </c>
      <c r="M25" s="20">
        <f t="array" ref="M25">IFERROR(
_xlfn.LET(
  _xlpm.IDs,_xlfn.ANCHORARRAY($A$2),
  _xlpm.CatsAll,_xlfn.XLOOKUP(_xlpm.IDs,DataSpiele!$A$2:$A$99814,DataSpiele!$A$2:$A$99814,""),
  _xlpm.n,MIN(15,ROWS(_xlpm.CatsAll)),
  _xlpm.Start,ROWS(_xlpm.CatsAll)-_xlpm.n+1,
  _xlpm.Cats,INDEX(_xlpm.CatsAll,_xlfn.SEQUENCE(_xlpm.n,1,_xlpm.Start,1)),
  _xlpm.i,ROW()-ROW($M$13)+1,
  IF(_xlpm.i&gt;_xlpm.n,"",INDEX(_xlpm.Cats,_xlpm.i))
),
""
)</f>
        <v/>
      </c>
      <c r="N25" s="20">
        <f>IFERROR(_xlfn.XLOOKUP($M$25,DataSpiele!$A:$A,DataSpiele!$H:$H,""),"")</f>
        <v/>
      </c>
      <c r="O25" s="21">
        <f>IF(OR(N25="Sieg",N25="Niederlage"),IF(N25=N24,O24+1,1),"")</f>
        <v/>
      </c>
      <c r="P25" s="21">
        <f>IFERROR(
_xlfn.LET(
  _xlpm.id, $M25,
  _xlpm.seite, _xlfn.XLOOKUP(_xlpm.id, DataSpiele!$A:$A, DataSpiele!$I:$I),
  _xlpm.heim,  _xlfn.XLOOKUP(_xlpm.id, DataSpiele!$A:$A, DataSpiele!$D:$D),
  _xlpm.aus,   _xlfn.XLOOKUP(_xlpm.id, DataSpiele!$A:$A, DataSpiele!$E:$E),
  IF(_xlpm.seite="Heim", _xlpm.heim &amp; " : " &amp; _xlpm.aus, _xlpm.aus &amp; " : " &amp; _xlpm.heim)
),
""
)</f>
        <v/>
      </c>
    </row>
    <row r="26" ht="17" customHeight="1" s="87" thickBot="1">
      <c r="A26" s="1" t="n"/>
      <c r="B26" s="1" t="n"/>
      <c r="C26" s="55" t="inlineStr">
        <is>
          <t>N. Williams</t>
        </is>
      </c>
      <c r="D26" s="53" t="n"/>
      <c r="E26" s="8">
        <f t="array" ref="E26">SUMPRODUCT(
  --(DataSpieler!$C$2:$C$97619=$C26),
  --(DataSpieler!$E$2:$E$97619&gt;0),
  --ISNUMBER(MATCH(DataSpieler!$A$2:$A$97619,_xlfn.ANCHORARRAY($A$2),0))
)</f>
        <v/>
      </c>
      <c r="F26" s="9">
        <f t="array" ref="F26">SUMPRODUCT(
  DataSpieler!$F$2:$F$97619,
  --(DataSpieler!$C$2:$C$97619=C26),
  --ISNUMBER(MATCH(DataSpieler!$A$2:$A$97619,_xlfn.ANCHORARRAY($A$2),0))
)</f>
        <v/>
      </c>
      <c r="G26" s="9">
        <f t="array" ref="G26">SUMPRODUCT(
  DataSpieler!$G$2:$G$97619,
  --(DataSpieler!$C$2:$C$97619=C26),
  --ISNUMBER(MATCH(DataSpieler!$A$2:$A$97619,_xlfn.ANCHORARRAY($A$2),0))
)</f>
        <v/>
      </c>
      <c r="H26" s="9">
        <f>F26+G26</f>
        <v/>
      </c>
      <c r="I26" s="9">
        <f t="array" ref="I26">SUMPRODUCT(
  --(DataSpieler!$C$2:$C$97619=C26),
  --(DataSpieler!$H$2:$H$97619="x"),
  --ISNUMBER(MATCH(DataSpieler!$A$2:$A$97619,_xlfn.ANCHORARRAY($A$2),0))
)</f>
        <v/>
      </c>
      <c r="J26" s="10">
        <f t="array" ref="J26">IFERROR(
  AVERAGE(
    _xlfn._xlws.FILTER(
      DataSpieler!$E$2:$E$97619,
      (DataSpieler!$C$2:$C$97619=C26) *
      ISNUMBER(MATCH(DataSpieler!$A$2:$A$97619,_xlfn.ANCHORARRAY($A$2),0))
    )
  ),
  ""
)</f>
        <v/>
      </c>
      <c r="L26" s="23" t="n">
        <v>14</v>
      </c>
      <c r="M26" s="20">
        <f t="array" ref="M26">IFERROR(
_xlfn.LET(
  _xlpm.IDs,_xlfn.ANCHORARRAY($A$2),
  _xlpm.CatsAll,_xlfn.XLOOKUP(_xlpm.IDs,DataSpiele!$A$2:$A$99814,DataSpiele!$A$2:$A$99814,""),
  _xlpm.n,MIN(15,ROWS(_xlpm.CatsAll)),
  _xlpm.Start,ROWS(_xlpm.CatsAll)-_xlpm.n+1,
  _xlpm.Cats,INDEX(_xlpm.CatsAll,_xlfn.SEQUENCE(_xlpm.n,1,_xlpm.Start,1)),
  _xlpm.i,ROW()-ROW($M$13)+1,
  IF(_xlpm.i&gt;_xlpm.n,"",INDEX(_xlpm.Cats,_xlpm.i))
),
""
)</f>
        <v/>
      </c>
      <c r="N26" s="20">
        <f>IFERROR(_xlfn.XLOOKUP($M$26,DataSpiele!$A:$A,DataSpiele!$H:$H,""),"")</f>
        <v/>
      </c>
      <c r="O26" s="21">
        <f>IF(OR(N26="Sieg",N26="Niederlage"),IF(N26=N25,O25+1,1),"")</f>
        <v/>
      </c>
      <c r="P26" s="21">
        <f>IFERROR(
_xlfn.LET(
  _xlpm.id, $M26,
  _xlpm.seite, _xlfn.XLOOKUP(_xlpm.id, DataSpiele!$A:$A, DataSpiele!$I:$I),
  _xlpm.heim,  _xlfn.XLOOKUP(_xlpm.id, DataSpiele!$A:$A, DataSpiele!$D:$D),
  _xlpm.aus,   _xlfn.XLOOKUP(_xlpm.id, DataSpiele!$A:$A, DataSpiele!$E:$E),
  IF(_xlpm.seite="Heim", _xlpm.heim &amp; " : " &amp; _xlpm.aus, _xlpm.aus &amp; " : " &amp; _xlpm.heim)
),
""
)</f>
        <v/>
      </c>
    </row>
    <row r="27" ht="17" customHeight="1" s="87" thickBot="1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L27" s="24" t="n">
        <v>15</v>
      </c>
      <c r="M27" s="46">
        <f t="array" ref="M27">IFERROR(
_xlfn.LET(
  _xlpm.IDs,_xlfn.ANCHORARRAY($A$2),
  _xlpm.CatsAll,_xlfn.XLOOKUP(_xlpm.IDs,DataSpiele!$A$2:$A$99814,DataSpiele!$A$2:$A$99814,""),
  _xlpm.n,MIN(15,ROWS(_xlpm.CatsAll)),
  _xlpm.Start,ROWS(_xlpm.CatsAll)-_xlpm.n+1,
  _xlpm.Cats,INDEX(_xlpm.CatsAll,_xlfn.SEQUENCE(_xlpm.n,1,_xlpm.Start,1)),
  _xlpm.i,ROW()-ROW($M$13)+1,
  IF(_xlpm.i&gt;_xlpm.n,"",INDEX(_xlpm.Cats,_xlpm.i))
),
""
)</f>
        <v/>
      </c>
      <c r="N27" s="46">
        <f>IFERROR(_xlfn.XLOOKUP($M$27,DataSpiele!$A:$A,DataSpiele!$H:$H,""),"")</f>
        <v/>
      </c>
      <c r="O27" s="25">
        <f>IF(OR(N27="Sieg",N27="Niederlage"),IF(N27=N26,O26+1,1),"")</f>
        <v/>
      </c>
      <c r="P27" s="25">
        <f>IFERROR(
_xlfn.LET(
  _xlpm.id, $M27,
  _xlpm.seite, _xlfn.XLOOKUP(_xlpm.id, DataSpiele!$A:$A, DataSpiele!$I:$I),
  _xlpm.heim,  _xlfn.XLOOKUP(_xlpm.id, DataSpiele!$A:$A, DataSpiele!$D:$D),
  _xlpm.aus,   _xlfn.XLOOKUP(_xlpm.id, DataSpiele!$A:$A, DataSpiele!$E:$E),
  IF(_xlpm.seite="Heim", _xlpm.heim &amp; " : " &amp; _xlpm.aus, _xlpm.aus &amp; " : " &amp; _xlpm.heim)
),
""
)</f>
        <v/>
      </c>
    </row>
    <row r="28" ht="18" customHeight="1" s="87" thickBot="1">
      <c r="A28" s="1" t="n"/>
      <c r="B28" s="1" t="n"/>
    </row>
    <row r="29" ht="18" customHeight="1" s="87" thickBot="1" thickTop="1">
      <c r="A29" s="1" t="n"/>
      <c r="B29" s="1" t="n"/>
      <c r="C29" s="47" t="inlineStr">
        <is>
          <t>Top Goals</t>
        </is>
      </c>
      <c r="D29" s="58">
        <f>INDEX(C4:C22,MATCH(D31,F4:F22,0))</f>
        <v/>
      </c>
      <c r="E29" s="58">
        <f>INDEX(C4:C22,MATCH(E31,F4:F22,0))</f>
        <v/>
      </c>
      <c r="F29" s="58">
        <f>INDEX(C4:C22,MATCH(F31,F4:F22,0))</f>
        <v/>
      </c>
      <c r="H29" s="71" t="inlineStr">
        <is>
          <t>Clean Sheets</t>
        </is>
      </c>
      <c r="I29" s="59" t="inlineStr">
        <is>
          <t>Avg. Posession</t>
        </is>
      </c>
      <c r="J29" s="59" t="inlineStr">
        <is>
          <t>Home 
Games</t>
        </is>
      </c>
      <c r="L29" s="59" t="inlineStr">
        <is>
          <t>Current Record</t>
        </is>
      </c>
      <c r="M29" s="91" t="n"/>
      <c r="N29" s="92" t="n"/>
    </row>
    <row r="30" ht="17" customHeight="1" s="87" thickBot="1" thickTop="1">
      <c r="A30" s="1" t="n"/>
      <c r="B30" s="1" t="n"/>
      <c r="C30" s="48" t="n"/>
      <c r="D30" s="49" t="n"/>
      <c r="E30" s="49" t="n"/>
      <c r="F30" s="49" t="n"/>
      <c r="H30" s="72" t="n"/>
      <c r="I30" s="60" t="n"/>
      <c r="J30" s="60" t="n"/>
      <c r="L30" s="58" t="inlineStr">
        <is>
          <t>Won</t>
        </is>
      </c>
      <c r="M30" s="12" t="inlineStr">
        <is>
          <t>Lost</t>
        </is>
      </c>
      <c r="N30" s="19" t="inlineStr">
        <is>
          <t>Draw</t>
        </is>
      </c>
    </row>
    <row r="31" ht="17" customHeight="1" s="87" thickBot="1" thickTop="1">
      <c r="A31" s="1" t="n"/>
      <c r="B31" s="1" t="n"/>
      <c r="C31" s="48" t="n"/>
      <c r="D31" s="50">
        <f>LARGE(F1:F21, 1)</f>
        <v/>
      </c>
      <c r="E31" s="50">
        <f>LARGE(F1:F21, 2)</f>
        <v/>
      </c>
      <c r="F31" s="50">
        <f>LARGE(F1:F21, 3)</f>
        <v/>
      </c>
      <c r="H31" s="61">
        <f t="array" ref="H31">IFERROR(SUM(
  --(
    _xlfn.XLOOKUP(_xlfn.ANCHORARRAY(
      $A$2),
      DataSpiele!$A$2:$A$99814,
      DataSpiele!$K$2:$K$99814,
      ""
    )
    ="ja"
  )
),"0")</f>
        <v/>
      </c>
      <c r="I31" s="63">
        <f t="array" ref="I31">IFERROR(
  AVERAGE(
    _xlfn.XLOOKUP(_xlfn.ANCHORARRAY(
      $A$2),
      DataSpiele!$A$2:$A$99814,
      DataSpiele!$O$2:$O$99814,
      ""
    )
  ),
  " "
)</f>
        <v/>
      </c>
      <c r="J31" s="63">
        <f t="array" ref="J31">IFERROR(
  _xlfn.LET(
    _xlpm.IDs,_xlfn.ANCHORARRAY(Dashboard!$A$2),
    _xlpm.Ort,_xlfn.XLOOKUP(_xlpm.IDs,DataSpiele!$A$2:$A$99839,DataSpiele!$I$2:$I$99839,""),
    _xlpm.HeimAnz,SUMPRODUCT(--(LEFT(TRIM(_xlpm.Ort),4)="Heim")),
    _xlpm.HeimAnz/COUNTA(_xlpm.IDs)
  ),
  0
)</f>
        <v/>
      </c>
      <c r="L31" s="65">
        <f t="array" ref="L31">IFERROR(SUM(
  --(
    _xlfn.XLOOKUP(_xlfn.ANCHORARRAY(
      $A$2),
      DataSpiele!$A$2:$A$99814,
      DataSpiele!$H$2:$H$99814,
      ""
    )
    ="Sieg"
  )
),"0")</f>
        <v/>
      </c>
      <c r="M31" s="57">
        <f t="array" ref="M31">IFERROR(SUM(
  --(
    _xlfn.XLOOKUP(_xlfn.ANCHORARRAY(
      $A$2),
      DataSpiele!$A$2:$A$99814,
      DataSpiele!$H$2:$H$99814,
      ""
    )
    ="Niederlage"
  )
),"0")</f>
        <v/>
      </c>
      <c r="N31" s="56">
        <f t="array" ref="N31">IFERROR(SUM(
  --(
    _xlfn.XLOOKUP(_xlfn.ANCHORARRAY(
      $A$2),
      DataSpiele!$A$2:$A$99814,
      DataSpiele!$H$2:$H$99814,
      ""
    )
    ="Unentschieden"
  )
),"0")</f>
        <v/>
      </c>
    </row>
    <row r="32" ht="18" customHeight="1" s="87" thickBot="1" thickTop="1">
      <c r="A32" s="1" t="n"/>
      <c r="B32" s="1" t="n"/>
      <c r="C32" s="49" t="n"/>
      <c r="D32" s="49" t="n"/>
      <c r="E32" s="49" t="n"/>
      <c r="F32" s="49" t="n"/>
      <c r="H32" s="72" t="n"/>
      <c r="I32" s="73" t="n"/>
      <c r="J32" s="73" t="n"/>
      <c r="L32" s="49" t="n"/>
      <c r="M32" s="49" t="n"/>
      <c r="N32" s="49" t="n"/>
    </row>
    <row r="33" ht="17" customHeight="1" s="87" thickBot="1" thickTop="1">
      <c r="A33" s="1" t="n"/>
      <c r="B33" s="1" t="n"/>
      <c r="C33" s="1" t="n"/>
      <c r="D33" s="86" t="n"/>
      <c r="F33" s="1" t="n"/>
      <c r="L33" s="58" t="inlineStr">
        <is>
          <t>Rage Quit</t>
        </is>
      </c>
      <c r="M33" s="12" t="inlineStr">
        <is>
          <t>Rage Quit</t>
        </is>
      </c>
      <c r="N33" s="19" t="inlineStr">
        <is>
          <t>by ET</t>
        </is>
      </c>
    </row>
    <row r="34" ht="17" customHeight="1" s="87" thickBot="1" thickTop="1">
      <c r="A34" s="1" t="n"/>
      <c r="B34" s="1" t="n"/>
      <c r="C34" s="47" t="inlineStr">
        <is>
          <t>Top Assist</t>
        </is>
      </c>
      <c r="D34" s="58">
        <f>INDEX(C4:C22,MATCH(D36,G4:G22,0))</f>
        <v/>
      </c>
      <c r="E34" s="58">
        <f>INDEX(C4:C22,MATCH(E36,G4:G22,0))</f>
        <v/>
      </c>
      <c r="F34" s="58">
        <f>INDEX(C4:C22,MATCH(F36,G4:G22,0))</f>
        <v/>
      </c>
      <c r="H34" s="47" t="inlineStr">
        <is>
          <t>Passing</t>
        </is>
      </c>
      <c r="I34" s="93" t="inlineStr">
        <is>
          <t>For</t>
        </is>
      </c>
      <c r="J34" s="94" t="inlineStr">
        <is>
          <t>Against</t>
        </is>
      </c>
      <c r="L34" s="65">
        <f t="array" ref="L34">IFERROR(SUM(
  --(
    _xlfn.XLOOKUP(_xlfn.ANCHORARRAY(
      $A$2),
      DataSpiele!$A$2:$A$99814,
      DataSpiele!$N$2:$N$99814,
      ""
    )
    ="Gegner hat aufgegeben (Sieg)"
  )
),"")</f>
        <v/>
      </c>
      <c r="M34" s="57">
        <f t="array" ref="M34">IFERROR(SUM(
  --(
    _xlfn.XLOOKUP(_xlfn.ANCHORARRAY(
      $A$2),
      DataSpiele!$A$2:$A$99814,
      DataSpiele!$N$2:$N$99814,
      ""
    )
    ="Ich habe aufgegeben (Niederlage)"
  )
),"")</f>
        <v/>
      </c>
      <c r="N34" s="56">
        <f t="array" ref="N34">IFERROR(SUM(
  --(
    (_xlfn.XLOOKUP(_xlfn.ANCHORARRAY($A$2),DataSpiele!$A$2:$A$99814,DataSpiele!$M$2:$M$99814,"")="ja")
    *
    (_xlfn.XLOOKUP(_xlfn.ANCHORARRAY($A$2),DataSpiele!$A$2:$A$99814,DataSpiele!$H$2:$H$99814,"")="Unentschieden")
  )
),"")</f>
        <v/>
      </c>
      <c r="O34" s="1" t="n"/>
    </row>
    <row r="35" ht="18" customHeight="1" s="87" thickBot="1" thickTop="1">
      <c r="A35" s="1" t="n"/>
      <c r="B35" s="1" t="n"/>
      <c r="C35" s="48" t="n"/>
      <c r="D35" s="49" t="n"/>
      <c r="E35" s="49" t="n"/>
      <c r="F35" s="49" t="n"/>
      <c r="H35" s="49" t="n"/>
      <c r="I35" s="95" t="n"/>
      <c r="J35" s="96" t="n"/>
      <c r="L35" s="49" t="n"/>
      <c r="M35" s="49" t="n"/>
      <c r="N35" s="49" t="n"/>
    </row>
    <row r="36" ht="18" customHeight="1" s="87" thickBot="1" thickTop="1">
      <c r="A36" s="1" t="n"/>
      <c r="B36" s="1" t="n"/>
      <c r="C36" s="48" t="n"/>
      <c r="D36" s="50">
        <f>LARGE($G$3:$G$22, 1)</f>
        <v/>
      </c>
      <c r="E36" s="50">
        <f>LARGE($G$3:$G$22, 2)</f>
        <v/>
      </c>
      <c r="F36" s="50">
        <f>LARGE($G$3:$G$22, 3)</f>
        <v/>
      </c>
      <c r="H36" s="27" t="inlineStr">
        <is>
          <t>Total per Game</t>
        </is>
      </c>
      <c r="I36" s="33">
        <f t="array" ref="I36">IFERROR(
  AVERAGE(
    _xlfn.XLOOKUP(_xlfn.ANCHORARRAY(
      $A$2),
      DataSpiele!$A$2:$A$99814,
      DataSpiele!$V$2:$V$99814,
      ""
    )
  ),
  " "
)</f>
        <v/>
      </c>
      <c r="J36" s="34">
        <f t="array" ref="J36">IFERROR(
  AVERAGE(
    _xlfn.XLOOKUP(_xlfn.ANCHORARRAY(
      $A$2),
      DataSpiele!$A$2:$A$99814,
      DataSpiele!$W$2:$W$99814,
      ""
    )
  ),
  " "
)</f>
        <v/>
      </c>
      <c r="L36" s="58" t="inlineStr">
        <is>
          <t>by ET</t>
        </is>
      </c>
      <c r="M36" s="12" t="inlineStr">
        <is>
          <t>by ET</t>
        </is>
      </c>
      <c r="N36" s="1" t="n"/>
    </row>
    <row r="37" ht="18" customHeight="1" s="87" thickBot="1" thickTop="1">
      <c r="A37" s="1" t="n"/>
      <c r="B37" s="1" t="n"/>
      <c r="C37" s="49" t="n"/>
      <c r="D37" s="49" t="n"/>
      <c r="E37" s="49" t="n"/>
      <c r="F37" s="49" t="n"/>
      <c r="H37" s="28" t="inlineStr">
        <is>
          <t>Pass %</t>
        </is>
      </c>
      <c r="I37" s="35">
        <f t="array" ref="I37">IFERROR(
  AVERAGE(
    _xlfn.XLOOKUP(_xlfn.ANCHORARRAY(
      $A$2),
      DataSpiele!$A$2:$A$99814,
      DataSpiele!$X$2:$X$99814,
      ""
    )
  ),
  " "
)</f>
        <v/>
      </c>
      <c r="J37" s="36">
        <f t="array" ref="J37">IFERROR(
  AVERAGE(
    _xlfn.XLOOKUP(_xlfn.ANCHORARRAY(
      $A$2),
      DataSpiele!$A$2:$A$99814,
      DataSpiele!$Y$2:$Y$99814,
      ""
    )
  ),
  " "
)</f>
        <v/>
      </c>
      <c r="L37" s="65">
        <f t="array" ref="L37">IFERROR(SUM(
  --(
    (_xlfn.XLOOKUP(_xlfn.ANCHORARRAY($A$2),DataSpiele!$A$2:$A$99814,DataSpiele!$L$2:$L$99814,"")="ja")
    *
    (_xlfn.XLOOKUP(_xlfn.ANCHORARRAY($A$2),DataSpiele!$A$2:$A$99814,DataSpiele!$H$2:$H$99814,"")="Sieg")
  )
),"")</f>
        <v/>
      </c>
      <c r="M37" s="57">
        <f t="array" ref="M37">IFERROR(SUM(
  --(
    (_xlfn.XLOOKUP(_xlfn.ANCHORARRAY($A$2),DataSpiele!$A$2:$A$99814,DataSpiele!$L$2:$L$99814,"")="ja")
    *
    (_xlfn.XLOOKUP(_xlfn.ANCHORARRAY($A$2),DataSpiele!$A$2:$A$99814,DataSpiele!$H$2:$H$99814,"")="Niederlage")
  )
),"")</f>
        <v/>
      </c>
      <c r="O37" s="47" t="inlineStr">
        <is>
          <t>Streak per 15 Matches</t>
        </is>
      </c>
      <c r="P37" s="78" t="n"/>
    </row>
    <row r="38" ht="18" customHeight="1" s="87" thickBot="1" thickTop="1">
      <c r="A38" s="1" t="n"/>
      <c r="B38" s="1" t="n"/>
      <c r="C38" s="13" t="n"/>
      <c r="D38" s="13" t="n"/>
      <c r="E38" s="1" t="n"/>
      <c r="F38" s="1" t="n"/>
      <c r="L38" s="49" t="n"/>
      <c r="M38" s="49" t="n"/>
      <c r="O38" s="77" t="inlineStr">
        <is>
          <t>Max Win Streak</t>
        </is>
      </c>
      <c r="P38" s="65">
        <f>_xlfn.MAXIFS(O13:O27,N13:N27,"Sieg")</f>
        <v/>
      </c>
    </row>
    <row r="39" ht="18" customHeight="1" s="87" thickBot="1" thickTop="1">
      <c r="A39" s="1" t="n"/>
      <c r="B39" s="1" t="n"/>
      <c r="C39" s="77" t="inlineStr">
        <is>
          <t>Best Avg. Rating</t>
        </is>
      </c>
      <c r="D39" s="58">
        <f>IFERROR(INDEX(C4:C22,MATCH(D41,J4:J22,0)),"")</f>
        <v/>
      </c>
      <c r="E39" s="58">
        <f>IFERROR(INDEX(C4:C22,MATCH(E41,J4:J22,0)),"")</f>
        <v/>
      </c>
      <c r="F39" s="58">
        <f>IFERROR(INDEX(C4:C22,MATCH(F41,J4:J22,0)),"")</f>
        <v/>
      </c>
      <c r="H39" s="47" t="inlineStr">
        <is>
          <t>Schnitt</t>
        </is>
      </c>
      <c r="I39" s="93" t="inlineStr">
        <is>
          <t>For</t>
        </is>
      </c>
      <c r="J39" s="94" t="inlineStr">
        <is>
          <t>Against</t>
        </is>
      </c>
      <c r="L39" s="58" t="inlineStr">
        <is>
          <t>by PEN</t>
        </is>
      </c>
      <c r="M39" s="12" t="inlineStr">
        <is>
          <t>by PEN</t>
        </is>
      </c>
      <c r="O39" s="49" t="n"/>
      <c r="P39" s="49" t="n"/>
    </row>
    <row r="40" ht="18" customHeight="1" s="87" thickBot="1" thickTop="1">
      <c r="A40" s="1" t="n"/>
      <c r="B40" s="1" t="n"/>
      <c r="C40" s="48" t="n"/>
      <c r="D40" s="49" t="n"/>
      <c r="E40" s="49" t="n"/>
      <c r="F40" s="49" t="n"/>
      <c r="H40" s="49" t="n"/>
      <c r="I40" s="95" t="n"/>
      <c r="J40" s="96" t="n"/>
      <c r="L40" s="65">
        <f t="array" ref="L40">IFERROR(SUM(
  --(
    (_xlfn.XLOOKUP(_xlfn.ANCHORARRAY($A$2),DataSpiele!$A$2:$A$99814,DataSpiele!$M$2:$M$99814,"")="ja")
    *
    (_xlfn.XLOOKUP(_xlfn.ANCHORARRAY($A$2),DataSpiele!$A$2:$A$99814,DataSpiele!$H$2:$H$99814,"")="Sieg")
  )
),"")</f>
        <v/>
      </c>
      <c r="M40" s="57">
        <f t="array" ref="M40">IFERROR(SUM(
  --(
    (_xlfn.XLOOKUP(_xlfn.ANCHORARRAY($A$2),DataSpiele!$A$2:$A$99814,DataSpiele!$M$2:$M$99814,"")="ja")
    *
    (_xlfn.XLOOKUP(_xlfn.ANCHORARRAY($A$2),DataSpiele!$A$2:$A$99814,DataSpiele!$H$2:$H$99814,"")="Niederlage")
  )
),"")</f>
        <v/>
      </c>
      <c r="O40" s="77" t="inlineStr">
        <is>
          <t>Max Loss Streak</t>
        </is>
      </c>
      <c r="P40" s="57">
        <f>_xlfn.MAXIFS(O13:O27,N13:N27,"Niederlage")</f>
        <v/>
      </c>
      <c r="V40" s="1" t="n"/>
      <c r="W40" s="1" t="n"/>
    </row>
    <row r="41" ht="18" customHeight="1" s="87" thickBot="1" thickTop="1">
      <c r="A41" s="1" t="n"/>
      <c r="B41" s="1" t="n"/>
      <c r="C41" s="48" t="n"/>
      <c r="D41" s="84">
        <f>IFERROR(LARGE(J4:J22,1),"")</f>
        <v/>
      </c>
      <c r="E41" s="84">
        <f>IFERROR(LARGE(J4:J22,2),"")</f>
        <v/>
      </c>
      <c r="F41" s="84">
        <f>IFERROR(LARGE(J4:J22,3),"")</f>
        <v/>
      </c>
      <c r="H41" s="27" t="inlineStr">
        <is>
          <t>Zweikämpfe</t>
        </is>
      </c>
      <c r="I41" s="33">
        <f t="array" ref="I41">IFERROR(
  AVERAGE(
    _xlfn.XLOOKUP(_xlfn.ANCHORARRAY(
      $A$2),
      DataSpiele!$A$2:$A$99814,
      DataSpiele!$AF$2:$AF$99814,
      ""
    )
  ),
  " "
)</f>
        <v/>
      </c>
      <c r="J41" s="34">
        <f t="array" ref="J41">IFERROR(
  AVERAGE(
    _xlfn.XLOOKUP(_xlfn.ANCHORARRAY(
      $A$2),
      DataSpiele!$A$2:$A$99814,
      DataSpiele!$AG$2:$AG$99814,
      ""
    )
  ),
  " "
)</f>
        <v/>
      </c>
      <c r="L41" s="49" t="n"/>
      <c r="M41" s="49" t="n"/>
      <c r="N41" s="1" t="n"/>
      <c r="O41" s="49" t="n"/>
      <c r="P41" s="49" t="n"/>
    </row>
    <row r="42" ht="18" customHeight="1" s="87" thickBot="1" thickTop="1">
      <c r="A42" s="1" t="n"/>
      <c r="B42" s="1" t="n"/>
      <c r="C42" s="49" t="n"/>
      <c r="D42" s="49" t="n"/>
      <c r="E42" s="49" t="n"/>
      <c r="F42" s="49" t="n"/>
      <c r="H42" s="28" t="inlineStr">
        <is>
          <t>davon gewonnen</t>
        </is>
      </c>
      <c r="I42" s="33">
        <f t="array" ref="I42">IFERROR(
  AVERAGE(
    _xlfn.XLOOKUP(_xlfn.ANCHORARRAY(
      $A$2),
      DataSpiele!$A$2:$A$99814,
      DataSpiele!$AH$2:$AH$99814,
      ""
    )
  ),
  " "
)</f>
        <v/>
      </c>
      <c r="J42" s="34">
        <f t="array" ref="J42">IFERROR(
  AVERAGE(
    _xlfn.XLOOKUP(_xlfn.ANCHORARRAY(
      $A$2),
      DataSpiele!$A$2:$A$99814,
      DataSpiele!$AI$2:$AI$99814,
      ""
    )
  ),
  " "
)</f>
        <v/>
      </c>
    </row>
    <row r="43" ht="17" customHeight="1" s="87" thickBot="1" thickTop="1">
      <c r="A43" s="1" t="n"/>
      <c r="B43" s="1" t="n"/>
      <c r="C43" s="1" t="n"/>
      <c r="D43" s="1" t="n"/>
      <c r="E43" s="1" t="n"/>
      <c r="L43" s="47" t="inlineStr">
        <is>
          <t>Goals Difference</t>
        </is>
      </c>
      <c r="M43" s="78" t="n"/>
    </row>
    <row r="44" ht="17" customHeight="1" s="87" thickBot="1" thickTop="1">
      <c r="A44" s="1" t="n"/>
      <c r="B44" s="1" t="n"/>
      <c r="C44" s="97" t="inlineStr">
        <is>
          <t>Most MOTM</t>
        </is>
      </c>
      <c r="D44" s="58">
        <f>IFERROR(INDEX(C4:C22,MATCH(E44,I4:I22,0)),"")</f>
        <v/>
      </c>
      <c r="E44" s="58">
        <f>IFERROR(LARGE(I4:I22,1),"")</f>
        <v/>
      </c>
      <c r="H44" s="97" t="inlineStr">
        <is>
          <t>Cards</t>
        </is>
      </c>
      <c r="I44" s="93" t="inlineStr">
        <is>
          <t>Yellow</t>
        </is>
      </c>
      <c r="J44" s="98" t="inlineStr">
        <is>
          <t>Red</t>
        </is>
      </c>
      <c r="L44" s="58" t="inlineStr">
        <is>
          <t>Scored</t>
        </is>
      </c>
      <c r="M44" s="12" t="inlineStr">
        <is>
          <t>Conceded</t>
        </is>
      </c>
    </row>
    <row r="45" ht="17" customHeight="1" s="87" thickBot="1" thickTop="1">
      <c r="A45" s="1" t="n"/>
      <c r="B45" s="1" t="n"/>
      <c r="C45" s="99" t="n"/>
      <c r="D45" s="49" t="n"/>
      <c r="E45" s="49" t="n"/>
      <c r="H45" s="99" t="n"/>
      <c r="I45" s="95" t="n"/>
      <c r="J45" s="96" t="n"/>
      <c r="L45" s="65">
        <f t="array" ref="L45">IFERROR(_xlfn.LET(
  _xlpm.Ort,_xlfn.XLOOKUP(_xlfn.ANCHORARRAY($A$2),DataSpiele!$A$2:$A$99814,DataSpiele!$I$2:$I$99814,""),
  _xlpm.Heim,_xlfn.XLOOKUP(_xlfn.ANCHORARRAY($A$2),DataSpiele!$A$2:$A$99814,DataSpiele!$D$2:$D$99814,0),
  _xlpm.Auswärts,_xlfn.XLOOKUP(_xlfn.ANCHORARRAY($A$2),DataSpiele!$A$2:$A$99814,DataSpiele!$E$2:$E$99814,0),
  SUM(--(_xlpm.Ort="Heim")*_xlpm.Heim)+SUM(--(_xlpm.Ort="Auswärts")*_xlpm.Auswärts)
),"")</f>
        <v/>
      </c>
      <c r="M45" s="57">
        <f t="array" ref="M45">IFERROR(_xlfn.LET(
  _xlpm.Ort,_xlfn.XLOOKUP(_xlfn.ANCHORARRAY($A$2),DataSpiele!$A$2:$A$99814,DataSpiele!$I$2:$I$99814,""),
  _xlpm.D,_xlfn.XLOOKUP(_xlfn.ANCHORARRAY($A$2),DataSpiele!$A$2:$A$99814,DataSpiele!$D$2:$D$99814,0),
  _xlpm.E,_xlfn.XLOOKUP(_xlfn.ANCHORARRAY($A$2),DataSpiele!$A$2:$A$99814,DataSpiele!$E$2:$E$99814,0),
  SUM(--(_xlpm.Ort="Auswärts")*_xlpm.D)+SUM(--(_xlpm.Ort="Heim")*_xlpm.E)
),"")</f>
        <v/>
      </c>
    </row>
    <row r="46" ht="17" customHeight="1" s="87" thickBot="1" thickTop="1">
      <c r="A46" s="1" t="n"/>
      <c r="B46" s="1" t="n"/>
      <c r="C46" s="97" t="inlineStr">
        <is>
          <t>Top Contributions</t>
        </is>
      </c>
      <c r="D46" s="58">
        <f>INDEX(C4:C22,MATCH(E46,H4:H22,0))</f>
        <v/>
      </c>
      <c r="E46" s="58">
        <f>LARGE(H4:H22,1)</f>
        <v/>
      </c>
      <c r="H46" s="27" t="inlineStr">
        <is>
          <t>Total</t>
        </is>
      </c>
      <c r="I46" s="33">
        <f t="array" ref="I46">IFERROR(
  SUM(
    _xlfn.XLOOKUP(_xlfn.ANCHORARRAY(
      $A$2),
      DataSpiele!$A$2:$A$99814,
      DataSpiele!$AB$2:$AB$99814,
      0
    )
  ),
  " "
)</f>
        <v/>
      </c>
      <c r="J46" s="37">
        <f t="array" ref="J46">IFERROR(
  SUM(
    _xlfn.XLOOKUP(_xlfn.ANCHORARRAY(
      $A$2),
      DataSpiele!$A$2:$A$99814,
      DataSpiele!$AD$2:$AD$99814,
      0
    )
  ),
  " "
)</f>
        <v/>
      </c>
      <c r="L46" s="49" t="n"/>
      <c r="M46" s="49" t="n"/>
    </row>
    <row r="47" ht="18" customHeight="1" s="87" thickBot="1" thickTop="1">
      <c r="A47" s="1" t="n"/>
      <c r="B47" s="1" t="n"/>
      <c r="C47" s="99" t="n"/>
      <c r="D47" s="49" t="n"/>
      <c r="E47" s="49" t="n"/>
      <c r="H47" s="28" t="inlineStr">
        <is>
          <t>per Game</t>
        </is>
      </c>
      <c r="I47" s="30">
        <f t="array" ref="I47">IFERROR(
  AVERAGE(
    _xlfn.XLOOKUP(_xlfn.ANCHORARRAY(
      $A$2),
      DataSpiele!$A$2:$A$99814,
      DataSpiele!$AB$2:$AB$99814,
      ""
    )
  ),
  " "
)</f>
        <v/>
      </c>
      <c r="J47" s="38">
        <f t="array" ref="J47">IFERROR(
  AVERAGE(
    _xlfn.XLOOKUP(_xlfn.ANCHORARRAY(
      $A$2),
      DataSpiele!$A$2:$A$99814,
      DataSpiele!$AD$2:$AD$99814,
      ""
    )
  ),
  " "
)</f>
        <v/>
      </c>
      <c r="L47" s="58" t="inlineStr">
        <is>
          <t>Avg Goals</t>
        </is>
      </c>
      <c r="M47" s="12" t="inlineStr">
        <is>
          <t>Avg Goals</t>
        </is>
      </c>
    </row>
    <row r="48" ht="17" customHeight="1" s="87" thickBot="1" thickTop="1">
      <c r="A48" s="1" t="n"/>
      <c r="B48" s="1" t="n"/>
      <c r="L48" s="85">
        <f>L45/E4</f>
        <v/>
      </c>
      <c r="M48" s="88">
        <f>M45/E4</f>
        <v/>
      </c>
    </row>
    <row r="49" ht="17" customHeight="1" s="87" thickBot="1" thickTop="1">
      <c r="A49" s="1" t="n"/>
      <c r="B49" s="1" t="n"/>
      <c r="H49" s="97" t="inlineStr">
        <is>
          <t>Cards
Opponent</t>
        </is>
      </c>
      <c r="I49" s="93" t="inlineStr">
        <is>
          <t>Yellow</t>
        </is>
      </c>
      <c r="J49" s="98" t="inlineStr">
        <is>
          <t>Red</t>
        </is>
      </c>
      <c r="L49" s="49" t="n"/>
      <c r="M49" s="49" t="n"/>
    </row>
    <row r="50" ht="17" customHeight="1" s="87" thickBot="1" thickTop="1">
      <c r="A50" s="1" t="n"/>
      <c r="B50" s="1" t="n"/>
      <c r="H50" s="99" t="n"/>
      <c r="I50" s="95" t="n"/>
      <c r="J50" s="96" t="n"/>
    </row>
    <row r="51" ht="17" customHeight="1" s="87" thickTop="1">
      <c r="A51" s="1" t="n"/>
      <c r="B51" s="1" t="n"/>
      <c r="H51" s="27" t="inlineStr">
        <is>
          <t>Total</t>
        </is>
      </c>
      <c r="I51" s="33">
        <f t="array" ref="I51">IFERROR(
  SUM(
    _xlfn.XLOOKUP(_xlfn.ANCHORARRAY(
      $A$2),
      DataSpiele!$A$2:$A$99814,
      DataSpiele!$AC$2:$AC$99814,
      0
    )
  ),
  " "
)</f>
        <v/>
      </c>
      <c r="J51" s="37">
        <f t="array" ref="J51">IFERROR(
  SUM(
    _xlfn.XLOOKUP(_xlfn.ANCHORARRAY(
      $A$2),
      DataSpiele!$A$2:$A$99814,
      DataSpiele!$AE$2:$AE$99814,
      0
    )
  ),
  " "
)</f>
        <v/>
      </c>
      <c r="L51" s="97" t="inlineStr">
        <is>
          <t>xG</t>
        </is>
      </c>
      <c r="M51" s="93" t="inlineStr">
        <is>
          <t>For</t>
        </is>
      </c>
      <c r="N51" s="94" t="inlineStr">
        <is>
          <t>Against</t>
        </is>
      </c>
    </row>
    <row r="52" ht="18" customHeight="1" s="87" thickBot="1">
      <c r="A52" s="1" t="n"/>
      <c r="B52" s="1" t="n"/>
      <c r="H52" s="28" t="inlineStr">
        <is>
          <t>per Game</t>
        </is>
      </c>
      <c r="I52" s="30">
        <f t="array" ref="I52">IFERROR(
  AVERAGE(
    _xlfn.XLOOKUP(_xlfn.ANCHORARRAY(
      $A$2),
      DataSpiele!$A$2:$A$99814,
      DataSpiele!$AC$2:$AC$99814,
      ""
    )
  ),
  " "
)</f>
        <v/>
      </c>
      <c r="J52" s="38">
        <f t="array" ref="J52">IFERROR(
  AVERAGE(
    _xlfn.XLOOKUP(_xlfn.ANCHORARRAY(
      $A$2),
      DataSpiele!$A$2:$A$99814,
      DataSpiele!$AE$2:$AE$99814,
      ""
    )
  ),
  " "
)</f>
        <v/>
      </c>
      <c r="L52" s="99" t="n"/>
      <c r="M52" s="95" t="n"/>
      <c r="N52" s="96" t="n"/>
    </row>
    <row r="53" ht="17" customHeight="1" s="87" thickTop="1">
      <c r="A53" s="1" t="n"/>
      <c r="B53" s="1" t="n"/>
      <c r="L53" s="27" t="inlineStr">
        <is>
          <t>Total</t>
        </is>
      </c>
      <c r="M53" s="29">
        <f t="array" ref="M53">IFERROR(
  SUM(
    _xlfn.XLOOKUP(_xlfn.ANCHORARRAY(
      $A$2),
      DataSpiele!$A$2:$A$99814,
      DataSpiele!$T$2:$T$99814,
      0
    )
  ),
  " "
)</f>
        <v/>
      </c>
      <c r="N53" s="31">
        <f t="array" ref="N53">IFERROR(
  SUM(
    _xlfn.XLOOKUP(_xlfn.ANCHORARRAY(
      $A$2),
      DataSpiele!$A$2:$A$99814,
      DataSpiele!$U$2:$U$99814,
      0
    )
  ),
  " "
)</f>
        <v/>
      </c>
    </row>
    <row r="54" ht="17" customHeight="1" s="87" thickBot="1">
      <c r="A54" s="1" t="n"/>
      <c r="B54" s="1" t="n"/>
      <c r="L54" s="28" t="inlineStr">
        <is>
          <t>Average</t>
        </is>
      </c>
      <c r="M54" s="30">
        <f t="array" ref="M54">IFERROR(
  AVERAGE(
    _xlfn.XLOOKUP(_xlfn.ANCHORARRAY(
      $A$2),
      DataSpiele!$A$2:$A$99814,
      DataSpiele!$T$2:$T$99814,
      ""
    )
  ),
  " "
)</f>
        <v/>
      </c>
      <c r="N54" s="32">
        <f t="array" ref="N54">IFERROR(
  AVERAGE(
    _xlfn.XLOOKUP(_xlfn.ANCHORARRAY(
      $A$2),
      DataSpiele!$A$2:$A$99814,
      DataSpiele!$U$2:$U$99814,
      ""
    )
  ),
  " "
)</f>
        <v/>
      </c>
    </row>
    <row r="55" ht="17" customHeight="1" s="87" thickBot="1" thickTop="1">
      <c r="A55" s="1" t="n"/>
      <c r="B55" s="1" t="n"/>
      <c r="L55" s="1" t="n"/>
    </row>
    <row r="56" ht="17" customHeight="1" s="87" thickTop="1">
      <c r="A56" s="1" t="n"/>
      <c r="B56" s="1" t="n"/>
      <c r="L56" s="97" t="inlineStr">
        <is>
          <t>Shooting</t>
        </is>
      </c>
      <c r="M56" s="93" t="inlineStr">
        <is>
          <t>For</t>
        </is>
      </c>
      <c r="N56" s="94" t="inlineStr">
        <is>
          <t>Against</t>
        </is>
      </c>
    </row>
    <row r="57" ht="17" customHeight="1" s="87" thickBot="1">
      <c r="A57" s="1" t="n"/>
      <c r="B57" s="1" t="n"/>
      <c r="L57" s="99" t="n"/>
      <c r="M57" s="95" t="n"/>
      <c r="N57" s="96" t="n"/>
    </row>
    <row r="58" ht="17" customHeight="1" s="87" thickTop="1">
      <c r="A58" s="1" t="n"/>
      <c r="B58" s="1" t="n"/>
      <c r="F58" s="1" t="n"/>
      <c r="G58" s="1" t="n"/>
      <c r="L58" s="27" t="inlineStr">
        <is>
          <t>Total per Game</t>
        </is>
      </c>
      <c r="M58" s="33">
        <f t="array" ref="M58">IFERROR(
  AVERAGE(
    _xlfn.XLOOKUP(_xlfn.ANCHORARRAY(
      $A$2),
      DataSpiele!$A$2:$A$99814,
      DataSpiele!$P$2:$P$99814,
      ""
    )
  ),
  " "
)</f>
        <v/>
      </c>
      <c r="N58" s="34">
        <f t="array" ref="N58">IFERROR(
  AVERAGE(
    _xlfn.XLOOKUP(_xlfn.ANCHORARRAY(
      $A$2),
      DataSpiele!$A$2:$A$99814,
      DataSpiele!$Q$2:$Q$99814,
      ""
    )
  ),
  " "
)</f>
        <v/>
      </c>
    </row>
    <row r="59" ht="17" customHeight="1" s="87" thickBot="1">
      <c r="A59" s="1" t="n"/>
      <c r="B59" s="1" t="n"/>
      <c r="F59" s="1" t="n"/>
      <c r="G59" s="1" t="n"/>
      <c r="L59" s="28" t="inlineStr">
        <is>
          <t>On Target %</t>
        </is>
      </c>
      <c r="M59" s="35">
        <f t="array" ref="M59">IFERROR(
  AVERAGE(
    _xlfn.XLOOKUP(_xlfn.ANCHORARRAY(
      $A$2),
      DataSpiele!$A$2:$A$99814,
      DataSpiele!$R$2:$R$99814,
      ""
    )
  ),
  " "
)</f>
        <v/>
      </c>
      <c r="N59" s="36">
        <f t="array" ref="N59">IFERROR(
  AVERAGE(
    _xlfn.XLOOKUP(_xlfn.ANCHORARRAY(
      $A$2),
      DataSpiele!$A$2:$A$99814,
      DataSpiele!$S$2:$S$99814,
      ""
    )
  ),
  " "
)</f>
        <v/>
      </c>
    </row>
    <row r="60" ht="17" customHeight="1" s="87" thickTop="1">
      <c r="A60" s="1" t="n"/>
      <c r="B60" s="1" t="n"/>
      <c r="F60" s="1" t="n"/>
    </row>
    <row r="61" ht="18" customHeight="1" s="87">
      <c r="A61" s="1" t="n"/>
      <c r="B61" s="1" t="n"/>
    </row>
    <row r="62" ht="17" customHeight="1" s="87">
      <c r="A62" s="1" t="n"/>
    </row>
    <row r="63">
      <c r="A63" s="1" t="n"/>
    </row>
    <row r="64">
      <c r="A64" s="1" t="n"/>
    </row>
    <row r="65">
      <c r="A65" s="1" t="n"/>
    </row>
    <row r="66">
      <c r="A66" s="1" t="n"/>
    </row>
    <row r="67">
      <c r="A67" s="1" t="n"/>
    </row>
    <row r="68">
      <c r="A68" s="1" t="n"/>
    </row>
    <row r="69">
      <c r="A69" s="1" t="n"/>
    </row>
    <row r="70">
      <c r="A70" s="1" t="n"/>
    </row>
    <row r="71">
      <c r="A71" s="1" t="n"/>
    </row>
    <row r="72">
      <c r="A72" s="1" t="n"/>
    </row>
    <row r="73">
      <c r="A73" s="1" t="n"/>
    </row>
    <row r="74">
      <c r="A74" s="1" t="n"/>
    </row>
    <row r="75">
      <c r="A75" s="1" t="n"/>
    </row>
    <row r="76">
      <c r="A76" s="1" t="n"/>
    </row>
  </sheetData>
  <mergeCells count="98">
    <mergeCell ref="E39:E40"/>
    <mergeCell ref="C6:D6"/>
    <mergeCell ref="M48:M49"/>
    <mergeCell ref="C15:D15"/>
    <mergeCell ref="D36:D37"/>
    <mergeCell ref="H34:H35"/>
    <mergeCell ref="H39:H40"/>
    <mergeCell ref="O40:O41"/>
    <mergeCell ref="L45:L46"/>
    <mergeCell ref="F31:F32"/>
    <mergeCell ref="I29:I30"/>
    <mergeCell ref="E41:E42"/>
    <mergeCell ref="J31:J32"/>
    <mergeCell ref="C17:D17"/>
    <mergeCell ref="L31:L32"/>
    <mergeCell ref="L40:L41"/>
    <mergeCell ref="I44:I45"/>
    <mergeCell ref="I31:I32"/>
    <mergeCell ref="D33:E33"/>
    <mergeCell ref="C19:D19"/>
    <mergeCell ref="C34:C37"/>
    <mergeCell ref="D34:D35"/>
    <mergeCell ref="F34:F35"/>
    <mergeCell ref="C3:D3"/>
    <mergeCell ref="M34:M35"/>
    <mergeCell ref="F36:F37"/>
    <mergeCell ref="C5:D5"/>
    <mergeCell ref="J34:J35"/>
    <mergeCell ref="C14:D14"/>
    <mergeCell ref="C29:C32"/>
    <mergeCell ref="H49:H50"/>
    <mergeCell ref="J49:J50"/>
    <mergeCell ref="C4:D4"/>
    <mergeCell ref="C46:C47"/>
    <mergeCell ref="E31:E32"/>
    <mergeCell ref="M40:M41"/>
    <mergeCell ref="E46:E47"/>
    <mergeCell ref="M37:M38"/>
    <mergeCell ref="L34:L35"/>
    <mergeCell ref="N31:N32"/>
    <mergeCell ref="C2:J2"/>
    <mergeCell ref="I34:I35"/>
    <mergeCell ref="C8:D8"/>
    <mergeCell ref="D39:D40"/>
    <mergeCell ref="C18:D18"/>
    <mergeCell ref="J39:J40"/>
    <mergeCell ref="L48:L49"/>
    <mergeCell ref="H29:H30"/>
    <mergeCell ref="P38:P39"/>
    <mergeCell ref="N56:N57"/>
    <mergeCell ref="E29:E30"/>
    <mergeCell ref="H31:H32"/>
    <mergeCell ref="P40:P41"/>
    <mergeCell ref="C44:C45"/>
    <mergeCell ref="E44:E45"/>
    <mergeCell ref="C20:D20"/>
    <mergeCell ref="L43:M43"/>
    <mergeCell ref="D41:D42"/>
    <mergeCell ref="F41:F42"/>
    <mergeCell ref="C22:D22"/>
    <mergeCell ref="M45:M46"/>
    <mergeCell ref="C12:D12"/>
    <mergeCell ref="I39:I40"/>
    <mergeCell ref="C21:D21"/>
    <mergeCell ref="C39:C42"/>
    <mergeCell ref="F39:F40"/>
    <mergeCell ref="C23:D23"/>
    <mergeCell ref="D29:D30"/>
    <mergeCell ref="F29:F30"/>
    <mergeCell ref="C7:D7"/>
    <mergeCell ref="O38:O39"/>
    <mergeCell ref="D31:D32"/>
    <mergeCell ref="J29:J30"/>
    <mergeCell ref="I49:I50"/>
    <mergeCell ref="H44:H45"/>
    <mergeCell ref="J44:J45"/>
    <mergeCell ref="C24:D24"/>
    <mergeCell ref="M51:M52"/>
    <mergeCell ref="D46:D47"/>
    <mergeCell ref="E34:E35"/>
    <mergeCell ref="L37:L38"/>
    <mergeCell ref="C26:D26"/>
    <mergeCell ref="L29:N29"/>
    <mergeCell ref="C10:D10"/>
    <mergeCell ref="C16:D16"/>
    <mergeCell ref="M31:M32"/>
    <mergeCell ref="C25:D25"/>
    <mergeCell ref="C9:D9"/>
    <mergeCell ref="L51:L52"/>
    <mergeCell ref="C11:D11"/>
    <mergeCell ref="L56:L57"/>
    <mergeCell ref="E36:E37"/>
    <mergeCell ref="N34:N35"/>
    <mergeCell ref="M56:M57"/>
    <mergeCell ref="N51:N52"/>
    <mergeCell ref="C13:D13"/>
    <mergeCell ref="O37:P37"/>
    <mergeCell ref="D44:D45"/>
  </mergeCells>
  <conditionalFormatting sqref="C29:D29">
    <cfRule type="containsText" priority="3" operator="containsText" dxfId="9" text="Gold">
      <formula>NOT(ISERROR(SEARCH(("Gold"),(C29))))</formula>
    </cfRule>
    <cfRule type="containsText" priority="4" operator="containsText" dxfId="8" text="Silver">
      <formula>NOT(ISERROR(SEARCH(("Silver"),(C29))))</formula>
    </cfRule>
    <cfRule type="containsText" priority="5" operator="containsText" dxfId="7" text="Bronze">
      <formula>NOT(ISERROR(SEARCH(("Bronze"),(C29))))</formula>
    </cfRule>
  </conditionalFormatting>
  <conditionalFormatting sqref="F4:F14 F16:F22 F24:F26">
    <cfRule type="expression" priority="8" dxfId="6">
      <formula>F4=MAX($F$4:$F$16)</formula>
    </cfRule>
  </conditionalFormatting>
  <conditionalFormatting sqref="G4:G14 G16:G22 G24:G26">
    <cfRule type="expression" priority="9" dxfId="5">
      <formula>G4=MAX($G$4:$G$14)</formula>
    </cfRule>
  </conditionalFormatting>
  <conditionalFormatting sqref="H4:H14 H16:H22 H24:H26">
    <cfRule type="expression" priority="10" dxfId="4">
      <formula>H4=MAX($H$4:$H$14)</formula>
    </cfRule>
  </conditionalFormatting>
  <conditionalFormatting sqref="I4:I14 I16:I22 I24:I26">
    <cfRule type="expression" priority="11" dxfId="3">
      <formula>I4=MAX($I$4:$I$14)</formula>
    </cfRule>
  </conditionalFormatting>
  <conditionalFormatting sqref="J4:J14 J16:J22 J24:J2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3:N27">
    <cfRule type="cellIs" priority="1" operator="equal" dxfId="2">
      <formula>"Unentschieden"</formula>
    </cfRule>
    <cfRule type="cellIs" priority="2" operator="equal" dxfId="1">
      <formula>"Niederlage"</formula>
    </cfRule>
  </conditionalFormatting>
  <dataValidations count="2">
    <dataValidation sqref="M2" showDropDown="0" showInputMessage="1" showErrorMessage="1" allowBlank="1" type="list">
      <formula1>"Alle,SquadBattles,Rivals,Champions,Live Event"</formula1>
    </dataValidation>
    <dataValidation sqref="M3" showDropDown="0" showInputMessage="1" showErrorMessage="0" allowBlank="1" type="list">
      <formula1>"alle,5,10,15,18,30"</formula1>
    </dataValidation>
  </dataValidations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121"/>
  <sheetViews>
    <sheetView workbookViewId="0">
      <pane ySplit="1" topLeftCell="A100" activePane="bottomLeft" state="frozen"/>
      <selection pane="bottomLeft" activeCell="C142" sqref="C142"/>
    </sheetView>
  </sheetViews>
  <sheetFormatPr baseColWidth="10" defaultRowHeight="16"/>
  <cols>
    <col width="15.1640625" bestFit="1" customWidth="1" style="87" min="2" max="2"/>
    <col width="13" bestFit="1" customWidth="1" style="87" min="3" max="3"/>
    <col width="15.1640625" bestFit="1" customWidth="1" style="87" min="4" max="4"/>
    <col width="15" bestFit="1" customWidth="1" style="87" min="7" max="7"/>
    <col width="15" customWidth="1" style="87" min="8" max="8"/>
    <col width="24.83203125" bestFit="1" customWidth="1" style="87" min="14" max="14"/>
    <col width="12.1640625" bestFit="1" customWidth="1" style="87" min="15" max="15"/>
    <col width="10.5" bestFit="1" customWidth="1" style="87" min="16" max="16"/>
    <col width="13.83203125" bestFit="1" customWidth="1" style="87" min="17" max="17"/>
    <col width="16.6640625" bestFit="1" customWidth="1" style="87" min="18" max="18"/>
    <col width="20.33203125" bestFit="1" customWidth="1" style="87" min="19" max="19"/>
    <col width="9.1640625" bestFit="1" customWidth="1" style="87" min="20" max="20"/>
    <col width="12.5" bestFit="1" customWidth="1" style="87" min="21" max="21"/>
    <col width="8.5" bestFit="1" customWidth="1" style="87" min="22" max="22"/>
    <col width="11.83203125" bestFit="1" customWidth="1" style="87" min="23" max="23"/>
    <col width="18.33203125" bestFit="1" customWidth="1" style="87" min="24" max="24"/>
    <col width="22.33203125" bestFit="1" customWidth="1" style="87" min="25" max="25"/>
    <col width="22" bestFit="1" customWidth="1" style="87" min="26" max="26"/>
    <col width="22" customWidth="1" style="87" min="27" max="27"/>
    <col width="14.1640625" bestFit="1" customWidth="1" style="87" min="28" max="28"/>
    <col width="14.1640625" customWidth="1" style="87" min="29" max="29"/>
    <col width="13.1640625" bestFit="1" customWidth="1" style="87" min="30" max="30"/>
    <col width="13.1640625" customWidth="1" style="87" min="31" max="31"/>
  </cols>
  <sheetData>
    <row r="1">
      <c r="A1" t="inlineStr">
        <is>
          <t>SpielID</t>
        </is>
      </c>
      <c r="B1" t="inlineStr">
        <is>
          <t>Spielkategorie</t>
        </is>
      </c>
      <c r="C1" t="inlineStr">
        <is>
          <t>Datum</t>
        </is>
      </c>
      <c r="D1" t="inlineStr">
        <is>
          <t>HeimT</t>
        </is>
      </c>
      <c r="E1" t="inlineStr">
        <is>
          <t>AuswärtsT</t>
        </is>
      </c>
      <c r="F1" t="inlineStr">
        <is>
          <t>Heim</t>
        </is>
      </c>
      <c r="G1" t="inlineStr">
        <is>
          <t>Auswärts</t>
        </is>
      </c>
      <c r="H1" t="inlineStr">
        <is>
          <t>Ergebnis</t>
        </is>
      </c>
      <c r="I1" t="inlineStr">
        <is>
          <t>Wo</t>
        </is>
      </c>
      <c r="J1" t="inlineStr">
        <is>
          <t>Spieldauer</t>
        </is>
      </c>
      <c r="K1" t="inlineStr">
        <is>
          <t>CleanSheet</t>
        </is>
      </c>
      <c r="L1" t="inlineStr">
        <is>
          <t>Verlängerung</t>
        </is>
      </c>
      <c r="M1" t="inlineStr">
        <is>
          <t>Elfmeterschießen</t>
        </is>
      </c>
      <c r="N1" t="inlineStr">
        <is>
          <t>Abbruchgrund</t>
        </is>
      </c>
      <c r="O1" s="39" t="inlineStr">
        <is>
          <t>Ballbesitiz</t>
        </is>
      </c>
      <c r="P1" s="39" t="inlineStr">
        <is>
          <t>Schüsse</t>
        </is>
      </c>
      <c r="Q1" s="40" t="inlineStr">
        <is>
          <t>SchüsseOpp</t>
        </is>
      </c>
      <c r="R1" s="39" t="inlineStr">
        <is>
          <t>Schusspräzision</t>
        </is>
      </c>
      <c r="S1" s="40" t="inlineStr">
        <is>
          <t>SchusspräzisionOpp</t>
        </is>
      </c>
      <c r="T1" s="39" t="inlineStr">
        <is>
          <t>xGoals</t>
        </is>
      </c>
      <c r="U1" s="40" t="inlineStr">
        <is>
          <t>xGoalsOpp</t>
        </is>
      </c>
      <c r="V1" s="39" t="inlineStr">
        <is>
          <t>Pässe</t>
        </is>
      </c>
      <c r="W1" s="40" t="inlineStr">
        <is>
          <t>PässeOpp</t>
        </is>
      </c>
      <c r="X1" s="39" t="inlineStr">
        <is>
          <t>Erfolgreiche Pässe</t>
        </is>
      </c>
      <c r="Y1" s="40" t="inlineStr">
        <is>
          <t>Erfolgreiche Pässe Opp</t>
        </is>
      </c>
      <c r="Z1" s="39" t="inlineStr">
        <is>
          <t>Erfolgreiche Dribblings</t>
        </is>
      </c>
      <c r="AA1" s="40" t="inlineStr">
        <is>
          <t>Erfolgreiche Dribblings Opp</t>
        </is>
      </c>
      <c r="AB1" s="39" t="inlineStr">
        <is>
          <t>Gelbe Karten</t>
        </is>
      </c>
      <c r="AC1" s="40" t="inlineStr">
        <is>
          <t>Gelbe Karten Opp</t>
        </is>
      </c>
      <c r="AD1" s="39" t="inlineStr">
        <is>
          <t>Rote Karten</t>
        </is>
      </c>
      <c r="AE1" s="40" t="inlineStr">
        <is>
          <t>Rote Karten Opp</t>
        </is>
      </c>
      <c r="AF1" s="39" t="inlineStr">
        <is>
          <t>zweikaempfe</t>
        </is>
      </c>
      <c r="AG1" s="40" t="inlineStr">
        <is>
          <t>zweikaempfeOpp</t>
        </is>
      </c>
      <c r="AH1" s="39" t="inlineStr">
        <is>
          <t>gew_zweikaempfe</t>
        </is>
      </c>
      <c r="AI1" s="40" t="inlineStr">
        <is>
          <t>gew_zweikaempfeOpp</t>
        </is>
      </c>
      <c r="AJ1" s="39" t="inlineStr">
        <is>
          <t>abgefangen</t>
        </is>
      </c>
      <c r="AK1" s="40" t="inlineStr">
        <is>
          <t>abgefangenOpp</t>
        </is>
      </c>
      <c r="AL1" s="39" t="inlineStr">
        <is>
          <t>paraden</t>
        </is>
      </c>
      <c r="AM1" s="40" t="inlineStr">
        <is>
          <t>paradenOpp</t>
        </is>
      </c>
      <c r="AN1" s="39" t="inlineStr">
        <is>
          <t>fouls</t>
        </is>
      </c>
      <c r="AO1" s="40" t="inlineStr">
        <is>
          <t>foulsOpp</t>
        </is>
      </c>
      <c r="AP1" s="39" t="inlineStr">
        <is>
          <t>abseits</t>
        </is>
      </c>
      <c r="AQ1" s="40" t="inlineStr">
        <is>
          <t>abseitsOpp</t>
        </is>
      </c>
      <c r="AR1" s="39" t="inlineStr">
        <is>
          <t>ecken</t>
        </is>
      </c>
      <c r="AS1" s="40" t="inlineStr">
        <is>
          <t>eckenOpp</t>
        </is>
      </c>
      <c r="AT1" s="39" t="inlineStr">
        <is>
          <t>freistöße</t>
        </is>
      </c>
      <c r="AU1" s="40" t="inlineStr">
        <is>
          <t>freistößeOpp</t>
        </is>
      </c>
      <c r="AV1" s="39" t="inlineStr">
        <is>
          <t>elfmeter</t>
        </is>
      </c>
      <c r="AW1" s="40" t="inlineStr">
        <is>
          <t>elfmeterOpp</t>
        </is>
      </c>
      <c r="AX1" t="inlineStr">
        <is>
          <t>Unsicher/Fehlt</t>
        </is>
      </c>
    </row>
    <row r="2">
      <c r="A2" t="inlineStr">
        <is>
          <t>RIV001</t>
        </is>
      </c>
      <c r="B2" t="inlineStr">
        <is>
          <t>Rivals</t>
        </is>
      </c>
      <c r="C2" s="17" t="n">
        <v>46057</v>
      </c>
      <c r="D2" t="n">
        <v>10</v>
      </c>
      <c r="E2" t="n">
        <v>4</v>
      </c>
      <c r="F2" t="inlineStr">
        <is>
          <t>Momentum FC</t>
        </is>
      </c>
      <c r="G2" t="inlineStr">
        <is>
          <t>Luebeck VfB</t>
        </is>
      </c>
      <c r="H2" t="inlineStr">
        <is>
          <t>Sieg</t>
        </is>
      </c>
      <c r="I2" t="inlineStr">
        <is>
          <t>Heim</t>
        </is>
      </c>
      <c r="J2" s="18" t="n">
        <v>3.798611111111111</v>
      </c>
      <c r="K2" t="inlineStr">
        <is>
          <t>nein</t>
        </is>
      </c>
      <c r="L2" t="inlineStr">
        <is>
          <t>nein</t>
        </is>
      </c>
      <c r="M2" t="inlineStr">
        <is>
          <t>nein</t>
        </is>
      </c>
      <c r="O2" t="n">
        <v>0.54</v>
      </c>
      <c r="P2" t="n">
        <v>18</v>
      </c>
      <c r="Q2" t="n">
        <v>6</v>
      </c>
      <c r="R2" t="n">
        <v>0.78</v>
      </c>
      <c r="S2" t="n">
        <v>1</v>
      </c>
      <c r="T2" t="n">
        <v>7.4</v>
      </c>
      <c r="U2" t="n">
        <v>1.8</v>
      </c>
      <c r="V2" t="n">
        <v>190</v>
      </c>
      <c r="W2" t="n">
        <v>106</v>
      </c>
      <c r="X2" t="n">
        <v>0.88</v>
      </c>
      <c r="Y2" t="n">
        <v>0.84</v>
      </c>
      <c r="Z2" t="n">
        <v>0.95</v>
      </c>
      <c r="AA2" t="n">
        <v>0.79</v>
      </c>
      <c r="AB2" t="n">
        <v>0</v>
      </c>
      <c r="AC2" t="n">
        <v>0</v>
      </c>
      <c r="AD2" t="n">
        <v>0</v>
      </c>
      <c r="AE2" t="n">
        <v>0</v>
      </c>
      <c r="AF2" t="n">
        <v>16</v>
      </c>
      <c r="AG2" t="n">
        <v>72</v>
      </c>
      <c r="AH2" t="n">
        <v>13</v>
      </c>
      <c r="AI2" t="n">
        <v>8</v>
      </c>
      <c r="AJ2" t="n">
        <v>16</v>
      </c>
      <c r="AK2" t="n">
        <v>17</v>
      </c>
      <c r="AL2" t="n">
        <v>2</v>
      </c>
      <c r="AM2" t="n">
        <v>4</v>
      </c>
      <c r="AN2" t="n">
        <v>0</v>
      </c>
      <c r="AO2" t="n">
        <v>0</v>
      </c>
      <c r="AP2" t="n">
        <v>4</v>
      </c>
      <c r="AQ2" t="n">
        <v>1</v>
      </c>
      <c r="AR2" t="n">
        <v>2</v>
      </c>
      <c r="AS2" t="n">
        <v>2</v>
      </c>
      <c r="AT2" t="n">
        <v>1</v>
      </c>
      <c r="AU2" t="n">
        <v>4</v>
      </c>
      <c r="AV2" t="n">
        <v>0</v>
      </c>
      <c r="AW2" t="n">
        <v>0</v>
      </c>
    </row>
    <row r="3">
      <c r="C3" s="17" t="n"/>
      <c r="J3" s="18" t="n"/>
    </row>
    <row r="4">
      <c r="C4" s="17" t="n"/>
      <c r="J4" s="18" t="n"/>
    </row>
    <row r="5">
      <c r="C5" s="17" t="n"/>
      <c r="J5" s="18" t="n"/>
    </row>
    <row r="6">
      <c r="C6" s="17" t="n"/>
      <c r="J6" s="18" t="n"/>
    </row>
    <row r="7">
      <c r="C7" s="17" t="n"/>
      <c r="J7" s="18" t="n"/>
    </row>
    <row r="8">
      <c r="C8" s="17" t="n"/>
      <c r="J8" s="18" t="n"/>
    </row>
    <row r="9">
      <c r="C9" s="17" t="n"/>
      <c r="J9" s="18" t="n"/>
    </row>
    <row r="10">
      <c r="C10" s="17" t="n"/>
      <c r="J10" s="18" t="n"/>
    </row>
    <row r="11">
      <c r="C11" s="17" t="n"/>
      <c r="J11" s="18" t="n"/>
    </row>
    <row r="12">
      <c r="C12" s="17" t="n"/>
      <c r="J12" s="18" t="n"/>
    </row>
    <row r="13">
      <c r="C13" s="17" t="n"/>
      <c r="J13" s="18" t="n"/>
    </row>
    <row r="14">
      <c r="C14" s="17" t="n"/>
      <c r="J14" s="18" t="n"/>
    </row>
    <row r="15">
      <c r="C15" s="17" t="n"/>
      <c r="J15" s="18" t="n"/>
    </row>
    <row r="16">
      <c r="C16" s="17" t="n"/>
      <c r="J16" s="18" t="n"/>
    </row>
    <row r="17">
      <c r="C17" s="17" t="n"/>
      <c r="J17" s="18" t="n"/>
    </row>
    <row r="18">
      <c r="C18" s="17" t="n"/>
      <c r="J18" s="18" t="n"/>
    </row>
    <row r="19">
      <c r="C19" s="17" t="n"/>
      <c r="J19" s="18" t="n"/>
    </row>
    <row r="20">
      <c r="C20" s="17" t="n"/>
      <c r="J20" s="18" t="n"/>
    </row>
    <row r="21">
      <c r="C21" s="17" t="n"/>
      <c r="J21" s="18" t="n"/>
    </row>
    <row r="22">
      <c r="C22" s="17" t="n"/>
      <c r="J22" s="18" t="n"/>
    </row>
    <row r="23">
      <c r="C23" s="17" t="n"/>
      <c r="J23" s="18" t="n"/>
    </row>
    <row r="24">
      <c r="C24" s="17" t="n"/>
      <c r="J24" s="18" t="n"/>
    </row>
    <row r="25">
      <c r="C25" s="17" t="n"/>
      <c r="J25" s="18" t="n"/>
    </row>
    <row r="26">
      <c r="C26" s="17" t="n"/>
      <c r="J26" s="18" t="n"/>
    </row>
    <row r="27">
      <c r="C27" s="17" t="n"/>
      <c r="J27" s="18" t="n"/>
    </row>
    <row r="28">
      <c r="C28" s="17" t="n"/>
      <c r="J28" s="18" t="n"/>
    </row>
    <row r="29">
      <c r="C29" s="17" t="n"/>
      <c r="J29" s="18" t="n"/>
    </row>
    <row r="30">
      <c r="C30" s="17" t="n"/>
      <c r="J30" s="18" t="n"/>
    </row>
    <row r="31">
      <c r="C31" s="17" t="n"/>
      <c r="J31" s="41" t="n"/>
    </row>
    <row r="32">
      <c r="C32" s="17" t="n"/>
      <c r="J32" s="18" t="n"/>
    </row>
    <row r="33">
      <c r="C33" s="17" t="n"/>
      <c r="J33" s="18" t="n"/>
    </row>
    <row r="34">
      <c r="C34" s="17" t="n"/>
      <c r="J34" s="18" t="n"/>
    </row>
    <row r="35">
      <c r="C35" s="17" t="n"/>
      <c r="J35" s="18" t="n"/>
    </row>
    <row r="36">
      <c r="C36" s="17" t="n"/>
      <c r="J36" s="18" t="n"/>
    </row>
    <row r="37">
      <c r="C37" s="17" t="n"/>
      <c r="J37" s="18" t="n"/>
    </row>
    <row r="38">
      <c r="C38" s="17" t="n"/>
      <c r="J38" s="18" t="n"/>
    </row>
    <row r="39">
      <c r="C39" s="17" t="n"/>
      <c r="J39" s="18" t="n"/>
    </row>
    <row r="40">
      <c r="C40" s="17" t="n"/>
      <c r="J40" s="41" t="n"/>
    </row>
    <row r="41">
      <c r="C41" s="17" t="n"/>
      <c r="J41" s="18" t="n"/>
    </row>
    <row r="42">
      <c r="C42" s="17" t="n"/>
      <c r="J42" s="18" t="n"/>
    </row>
    <row r="43">
      <c r="C43" s="17" t="n"/>
      <c r="J43" s="18" t="n"/>
    </row>
    <row r="44">
      <c r="C44" s="17" t="n"/>
      <c r="J44" s="18" t="n"/>
    </row>
    <row r="45">
      <c r="C45" s="17" t="n"/>
      <c r="J45" s="18" t="n"/>
    </row>
    <row r="46">
      <c r="C46" s="17" t="n"/>
      <c r="J46" s="18" t="n"/>
      <c r="T46" s="44" t="n"/>
      <c r="U46" s="44" t="n"/>
    </row>
    <row r="47">
      <c r="C47" s="17" t="n"/>
      <c r="J47" s="18" t="n"/>
    </row>
    <row r="48">
      <c r="C48" s="17" t="n"/>
      <c r="J48" s="18" t="n"/>
    </row>
    <row r="49">
      <c r="C49" s="17" t="n"/>
      <c r="J49" s="18" t="n"/>
    </row>
    <row r="50">
      <c r="C50" s="17" t="n"/>
      <c r="J50" s="18" t="n"/>
    </row>
    <row r="51">
      <c r="C51" s="17" t="n"/>
      <c r="J51" s="18" t="n"/>
    </row>
    <row r="52">
      <c r="C52" s="17" t="n"/>
      <c r="J52" s="18" t="n"/>
    </row>
    <row r="53">
      <c r="C53" s="17" t="n"/>
      <c r="J53" s="18" t="n"/>
    </row>
    <row r="54">
      <c r="C54" s="17" t="n"/>
      <c r="J54" s="18" t="n"/>
    </row>
    <row r="55">
      <c r="C55" s="17" t="n"/>
      <c r="J55" s="18" t="n"/>
    </row>
    <row r="56">
      <c r="C56" s="17" t="n"/>
      <c r="J56" s="18" t="n"/>
    </row>
    <row r="57">
      <c r="C57" s="17" t="n"/>
      <c r="J57" s="18" t="n"/>
    </row>
    <row r="58">
      <c r="C58" s="17" t="n"/>
      <c r="J58" s="18" t="n"/>
    </row>
    <row r="59">
      <c r="C59" s="17" t="n"/>
      <c r="J59" s="18" t="n"/>
    </row>
    <row r="60">
      <c r="C60" s="17" t="n"/>
      <c r="J60" s="18" t="n"/>
    </row>
    <row r="61">
      <c r="C61" s="17" t="n"/>
      <c r="J61" s="18" t="n"/>
    </row>
    <row r="62">
      <c r="C62" s="17" t="n"/>
      <c r="J62" s="18" t="n"/>
    </row>
    <row r="63">
      <c r="C63" s="17" t="n"/>
      <c r="J63" s="18" t="n"/>
    </row>
    <row r="64">
      <c r="C64" s="17" t="n"/>
      <c r="J64" s="18" t="n"/>
    </row>
    <row r="65">
      <c r="C65" s="17" t="n"/>
      <c r="J65" s="18" t="n"/>
    </row>
    <row r="66">
      <c r="C66" s="17" t="n"/>
      <c r="J66" s="18" t="n"/>
    </row>
    <row r="67">
      <c r="C67" s="17" t="n"/>
      <c r="J67" s="18" t="n"/>
    </row>
    <row r="68">
      <c r="C68" s="17" t="n"/>
      <c r="J68" s="18" t="n"/>
    </row>
    <row r="69">
      <c r="C69" s="17" t="n"/>
      <c r="J69" s="18" t="n"/>
    </row>
    <row r="70">
      <c r="C70" s="17" t="n"/>
      <c r="J70" s="18" t="n"/>
    </row>
    <row r="71">
      <c r="C71" s="17" t="n"/>
      <c r="J71" s="18" t="n"/>
    </row>
    <row r="72">
      <c r="C72" s="17" t="n"/>
      <c r="J72" s="18" t="n"/>
    </row>
    <row r="73">
      <c r="C73" s="17" t="n"/>
      <c r="J73" s="18" t="n"/>
    </row>
    <row r="74">
      <c r="C74" s="17" t="n"/>
      <c r="J74" s="18" t="n"/>
    </row>
    <row r="75">
      <c r="C75" s="17" t="n"/>
      <c r="J75" s="18" t="n"/>
    </row>
    <row r="76">
      <c r="C76" s="17" t="n"/>
      <c r="J76" s="18" t="n"/>
    </row>
    <row r="77">
      <c r="C77" s="17" t="n"/>
      <c r="J77" s="18" t="n"/>
    </row>
    <row r="78">
      <c r="C78" s="17" t="n"/>
      <c r="J78" s="18" t="n"/>
    </row>
    <row r="79">
      <c r="C79" s="17" t="n"/>
      <c r="J79" s="18" t="n"/>
    </row>
    <row r="80">
      <c r="C80" s="17" t="n"/>
      <c r="J80" s="18" t="n"/>
    </row>
    <row r="81">
      <c r="C81" s="17" t="n"/>
      <c r="J81" s="18" t="n"/>
    </row>
    <row r="82">
      <c r="C82" s="17" t="n"/>
      <c r="J82" s="18" t="n"/>
    </row>
    <row r="83">
      <c r="C83" s="17" t="n"/>
      <c r="J83" s="18" t="n"/>
    </row>
    <row r="84">
      <c r="C84" s="17" t="n"/>
      <c r="J84" s="18" t="n"/>
    </row>
    <row r="85">
      <c r="C85" s="17" t="n"/>
      <c r="J85" s="18" t="n"/>
    </row>
    <row r="86">
      <c r="C86" s="17" t="n"/>
      <c r="J86" s="18" t="n"/>
    </row>
    <row r="87">
      <c r="C87" s="17" t="n"/>
      <c r="J87" s="18" t="n"/>
    </row>
    <row r="88">
      <c r="C88" s="17" t="n"/>
      <c r="J88" s="18" t="n"/>
    </row>
    <row r="89">
      <c r="C89" s="17" t="n"/>
      <c r="J89" s="18" t="n"/>
    </row>
    <row r="90">
      <c r="C90" s="17" t="n"/>
      <c r="J90" s="18" t="n"/>
    </row>
    <row r="91">
      <c r="C91" s="17" t="n"/>
      <c r="J91" s="18" t="n"/>
    </row>
    <row r="92">
      <c r="C92" s="17" t="n"/>
      <c r="J92" s="18" t="n"/>
    </row>
    <row r="93">
      <c r="C93" s="17" t="n"/>
      <c r="J93" s="18" t="n"/>
    </row>
    <row r="94">
      <c r="C94" s="17" t="n"/>
      <c r="J94" s="18" t="n"/>
    </row>
    <row r="95">
      <c r="C95" s="17" t="n"/>
      <c r="J95" s="18" t="n"/>
    </row>
    <row r="96">
      <c r="C96" s="17" t="n"/>
      <c r="J96" s="18" t="n"/>
    </row>
    <row r="97">
      <c r="C97" s="17" t="n"/>
      <c r="J97" s="41" t="n"/>
    </row>
    <row r="98">
      <c r="C98" s="17" t="n"/>
      <c r="J98" s="18" t="n"/>
    </row>
    <row r="99">
      <c r="C99" s="17" t="n"/>
      <c r="J99" s="18" t="n"/>
    </row>
    <row r="100">
      <c r="C100" s="17" t="n"/>
      <c r="J100" s="18" t="n"/>
    </row>
    <row r="101">
      <c r="C101" s="17" t="n"/>
      <c r="J101" s="18" t="n"/>
    </row>
    <row r="102">
      <c r="C102" s="17" t="n"/>
      <c r="J102" s="18" t="n"/>
    </row>
    <row r="103">
      <c r="C103" s="17" t="n"/>
      <c r="J103" s="18" t="n"/>
    </row>
    <row r="104">
      <c r="C104" s="17" t="n"/>
      <c r="J104" s="18" t="n"/>
    </row>
    <row r="105">
      <c r="C105" s="17" t="n"/>
      <c r="J105" s="18" t="n"/>
    </row>
    <row r="106">
      <c r="C106" s="17" t="n"/>
      <c r="J106" s="18" t="n"/>
    </row>
    <row r="107">
      <c r="C107" s="17" t="n"/>
      <c r="J107" s="18" t="n"/>
    </row>
    <row r="108">
      <c r="C108" s="17" t="n"/>
      <c r="J108" s="18" t="n"/>
    </row>
    <row r="109">
      <c r="C109" s="17" t="n"/>
      <c r="J109" s="18" t="n"/>
    </row>
    <row r="110">
      <c r="C110" s="17" t="n"/>
      <c r="J110" s="18" t="n"/>
    </row>
    <row r="111">
      <c r="C111" s="17" t="n"/>
      <c r="J111" s="18" t="n"/>
    </row>
    <row r="112">
      <c r="C112" s="17" t="n"/>
      <c r="J112" s="18" t="n"/>
    </row>
    <row r="113">
      <c r="C113" s="17" t="n"/>
      <c r="J113" s="18" t="n"/>
    </row>
    <row r="114">
      <c r="C114" s="17" t="n"/>
      <c r="J114" s="18" t="n"/>
    </row>
    <row r="115">
      <c r="C115" s="17" t="n"/>
      <c r="J115" s="18" t="n"/>
    </row>
    <row r="116">
      <c r="C116" s="17" t="n"/>
      <c r="J116" s="18" t="n"/>
    </row>
    <row r="117">
      <c r="C117" s="17" t="n"/>
      <c r="J117" s="18" t="n"/>
    </row>
    <row r="118">
      <c r="C118" s="17" t="n"/>
      <c r="J118" s="18" t="n"/>
    </row>
    <row r="119">
      <c r="C119" s="17" t="n"/>
      <c r="J119" s="18" t="n"/>
    </row>
    <row r="120">
      <c r="C120" s="17" t="n"/>
      <c r="J120" s="18" t="n"/>
    </row>
    <row r="121">
      <c r="C121" s="17" t="n"/>
      <c r="J121" s="41" t="n"/>
    </row>
  </sheetData>
  <autoFilter ref="A1:AK121"/>
  <conditionalFormatting sqref="A1:A1048576">
    <cfRule type="duplicateValues" priority="13" dxfId="0"/>
  </conditionalFormatting>
  <pageMargins left="0.7" right="0.7" top="0.787401575" bottom="0.7874015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646"/>
  <sheetViews>
    <sheetView workbookViewId="0">
      <pane ySplit="1" topLeftCell="A2" activePane="bottomLeft" state="frozen"/>
      <selection pane="bottomLeft" activeCell="C6" sqref="C6"/>
    </sheetView>
  </sheetViews>
  <sheetFormatPr baseColWidth="10" defaultRowHeight="16"/>
  <cols>
    <col width="9.5" bestFit="1" customWidth="1" style="87" min="1" max="1"/>
    <col width="15.1640625" bestFit="1" customWidth="1" style="87" min="2" max="2"/>
    <col width="13.6640625" bestFit="1" customWidth="1" style="87" min="3" max="3"/>
    <col width="10.83203125" customWidth="1" style="26" min="5" max="5"/>
    <col width="10.83203125" customWidth="1" style="16" min="8" max="8"/>
  </cols>
  <sheetData>
    <row r="1">
      <c r="A1" t="inlineStr">
        <is>
          <t>SpielID</t>
        </is>
      </c>
      <c r="B1" t="inlineStr">
        <is>
          <t>Spielkategorie</t>
        </is>
      </c>
      <c r="C1" t="inlineStr">
        <is>
          <t>Name</t>
        </is>
      </c>
      <c r="D1" t="inlineStr">
        <is>
          <t>Position</t>
        </is>
      </c>
      <c r="E1" s="26" t="inlineStr">
        <is>
          <t>Bewertung</t>
        </is>
      </c>
      <c r="F1" t="inlineStr">
        <is>
          <t>Tore</t>
        </is>
      </c>
      <c r="G1" t="inlineStr">
        <is>
          <t>Vorlagen</t>
        </is>
      </c>
      <c r="H1" s="16" t="inlineStr">
        <is>
          <t>MOTM</t>
        </is>
      </c>
      <c r="I1" t="inlineStr">
        <is>
          <t>Kommentar KI</t>
        </is>
      </c>
    </row>
    <row r="2">
      <c r="A2" t="inlineStr">
        <is>
          <t>RIV001</t>
        </is>
      </c>
      <c r="B2" t="inlineStr">
        <is>
          <t>Rivals</t>
        </is>
      </c>
      <c r="C2" t="inlineStr">
        <is>
          <t>A. Russo</t>
        </is>
      </c>
      <c r="D2" t="inlineStr">
        <is>
          <t>ST</t>
        </is>
      </c>
      <c r="E2" s="26" t="n">
        <v>10</v>
      </c>
      <c r="F2" t="n">
        <v>4</v>
      </c>
      <c r="G2" t="n">
        <v>1</v>
      </c>
      <c r="H2" s="16" t="inlineStr">
        <is>
          <t>x</t>
        </is>
      </c>
    </row>
    <row r="3">
      <c r="A3" t="inlineStr">
        <is>
          <t>RIV001</t>
        </is>
      </c>
      <c r="B3" t="inlineStr">
        <is>
          <t>Rivals</t>
        </is>
      </c>
      <c r="C3" t="inlineStr">
        <is>
          <t>J. Cruyff</t>
        </is>
      </c>
      <c r="D3" t="inlineStr">
        <is>
          <t>ZOM</t>
        </is>
      </c>
      <c r="E3" s="26" t="n">
        <v>6.4</v>
      </c>
      <c r="F3" t="n">
        <v>0</v>
      </c>
      <c r="G3" t="n">
        <v>0</v>
      </c>
    </row>
    <row r="4">
      <c r="A4" t="inlineStr">
        <is>
          <t>RIV001</t>
        </is>
      </c>
      <c r="B4" t="inlineStr">
        <is>
          <t>Rivals</t>
        </is>
      </c>
      <c r="C4" t="inlineStr">
        <is>
          <t>F. Totti</t>
        </is>
      </c>
      <c r="D4" t="inlineStr">
        <is>
          <t>ZOM</t>
        </is>
      </c>
      <c r="E4" s="26" t="n">
        <v>9.699999999999999</v>
      </c>
      <c r="F4" t="n">
        <v>1</v>
      </c>
      <c r="G4" t="n">
        <v>6</v>
      </c>
    </row>
    <row r="5">
      <c r="A5" t="inlineStr">
        <is>
          <t>RIV001</t>
        </is>
      </c>
      <c r="B5" t="inlineStr">
        <is>
          <t>Rivals</t>
        </is>
      </c>
      <c r="C5" t="inlineStr">
        <is>
          <t>N. Williams</t>
        </is>
      </c>
      <c r="D5" t="inlineStr">
        <is>
          <t>LM</t>
        </is>
      </c>
      <c r="E5" s="26" t="n">
        <v>6.5</v>
      </c>
      <c r="F5" t="n">
        <v>0</v>
      </c>
      <c r="G5" t="n">
        <v>0</v>
      </c>
    </row>
    <row r="6">
      <c r="A6" t="inlineStr">
        <is>
          <t>RIV001</t>
        </is>
      </c>
      <c r="B6" t="inlineStr">
        <is>
          <t>Rivals</t>
        </is>
      </c>
      <c r="C6" t="inlineStr">
        <is>
          <t>Vini Jr.</t>
        </is>
      </c>
      <c r="D6" t="inlineStr">
        <is>
          <t>LM</t>
        </is>
      </c>
      <c r="E6" s="26" t="n">
        <v>7.8</v>
      </c>
      <c r="F6" t="n">
        <v>0</v>
      </c>
      <c r="G6" t="n">
        <v>1</v>
      </c>
    </row>
    <row r="7">
      <c r="A7" t="inlineStr">
        <is>
          <t>RIV001</t>
        </is>
      </c>
      <c r="B7" t="inlineStr">
        <is>
          <t>Rivals</t>
        </is>
      </c>
      <c r="C7" t="inlineStr">
        <is>
          <t>J. Irvine</t>
        </is>
      </c>
      <c r="D7" t="inlineStr">
        <is>
          <t>LZM</t>
        </is>
      </c>
      <c r="E7" s="26" t="n">
        <v>8.1</v>
      </c>
      <c r="F7" t="n">
        <v>0</v>
      </c>
      <c r="G7" t="n">
        <v>1</v>
      </c>
    </row>
    <row r="8">
      <c r="A8" t="inlineStr">
        <is>
          <t>RIV001</t>
        </is>
      </c>
      <c r="B8" t="inlineStr">
        <is>
          <t>Rivals</t>
        </is>
      </c>
      <c r="C8" t="inlineStr">
        <is>
          <t>F. Valverde</t>
        </is>
      </c>
      <c r="D8" t="inlineStr">
        <is>
          <t>RZM</t>
        </is>
      </c>
      <c r="E8" s="26" t="n">
        <v>6.8</v>
      </c>
      <c r="F8" t="n">
        <v>1</v>
      </c>
      <c r="G8" t="n">
        <v>0</v>
      </c>
    </row>
    <row r="9">
      <c r="A9" t="inlineStr">
        <is>
          <t>RIV001</t>
        </is>
      </c>
      <c r="B9" t="inlineStr">
        <is>
          <t>Rivals</t>
        </is>
      </c>
      <c r="C9" t="inlineStr">
        <is>
          <t>Mariona</t>
        </is>
      </c>
      <c r="D9" t="inlineStr">
        <is>
          <t>RZM</t>
        </is>
      </c>
      <c r="E9" s="26" t="n">
        <v>8</v>
      </c>
      <c r="F9" t="n">
        <v>1</v>
      </c>
      <c r="G9" t="n">
        <v>0</v>
      </c>
    </row>
    <row r="10">
      <c r="A10" t="inlineStr">
        <is>
          <t>RIV001</t>
        </is>
      </c>
      <c r="B10" t="inlineStr">
        <is>
          <t>Rivals</t>
        </is>
      </c>
      <c r="C10" t="inlineStr">
        <is>
          <t>M. Salah</t>
        </is>
      </c>
      <c r="D10" t="inlineStr">
        <is>
          <t>RM</t>
        </is>
      </c>
      <c r="E10" s="26" t="n">
        <v>6.1</v>
      </c>
      <c r="F10" t="n">
        <v>0</v>
      </c>
      <c r="G10" t="n">
        <v>0</v>
      </c>
    </row>
    <row r="11">
      <c r="A11" t="inlineStr">
        <is>
          <t>RIV001</t>
        </is>
      </c>
      <c r="B11" t="inlineStr">
        <is>
          <t>Rivals</t>
        </is>
      </c>
      <c r="C11" t="inlineStr">
        <is>
          <t>Jairzinho</t>
        </is>
      </c>
      <c r="D11" t="inlineStr">
        <is>
          <t>RM</t>
        </is>
      </c>
      <c r="E11" s="26" t="n">
        <v>8.9</v>
      </c>
      <c r="F11" t="n">
        <v>3</v>
      </c>
      <c r="G11" t="n">
        <v>0</v>
      </c>
    </row>
    <row r="12">
      <c r="A12" t="inlineStr">
        <is>
          <t>RIV001</t>
        </is>
      </c>
      <c r="B12" t="inlineStr">
        <is>
          <t>Rivals</t>
        </is>
      </c>
      <c r="C12" t="inlineStr">
        <is>
          <t>S. Bacha</t>
        </is>
      </c>
      <c r="D12" t="inlineStr">
        <is>
          <t>LV</t>
        </is>
      </c>
      <c r="E12" s="26" t="n">
        <v>6.6</v>
      </c>
      <c r="F12" t="n">
        <v>0</v>
      </c>
      <c r="G12" t="n">
        <v>0</v>
      </c>
    </row>
    <row r="13">
      <c r="A13" t="inlineStr">
        <is>
          <t>RIV001</t>
        </is>
      </c>
      <c r="B13" t="inlineStr">
        <is>
          <t>Rivals</t>
        </is>
      </c>
      <c r="C13" t="inlineStr">
        <is>
          <t>M. Bright</t>
        </is>
      </c>
      <c r="D13" t="inlineStr">
        <is>
          <t>LIV</t>
        </is>
      </c>
      <c r="E13" s="26" t="n">
        <v>7.5</v>
      </c>
      <c r="F13" t="n">
        <v>0</v>
      </c>
      <c r="G13" t="n">
        <v>0</v>
      </c>
    </row>
    <row r="14">
      <c r="A14" t="inlineStr">
        <is>
          <t>RIV001</t>
        </is>
      </c>
      <c r="B14" t="inlineStr">
        <is>
          <t>Rivals</t>
        </is>
      </c>
      <c r="C14" t="inlineStr">
        <is>
          <t>G. Chiellini</t>
        </is>
      </c>
      <c r="D14" t="inlineStr">
        <is>
          <t>RIV</t>
        </is>
      </c>
      <c r="E14" s="26" t="n">
        <v>7.3</v>
      </c>
      <c r="F14" t="n">
        <v>0</v>
      </c>
      <c r="G14" t="n">
        <v>0</v>
      </c>
    </row>
    <row r="15">
      <c r="A15" t="inlineStr">
        <is>
          <t>RIV001</t>
        </is>
      </c>
      <c r="B15" t="inlineStr">
        <is>
          <t>Rivals</t>
        </is>
      </c>
      <c r="C15" t="inlineStr">
        <is>
          <t>Carlos Alberto</t>
        </is>
      </c>
      <c r="D15" t="inlineStr">
        <is>
          <t>RV</t>
        </is>
      </c>
      <c r="E15" s="26" t="n">
        <v>6.1</v>
      </c>
      <c r="F15" t="n">
        <v>0</v>
      </c>
      <c r="G15" t="n">
        <v>0</v>
      </c>
    </row>
    <row r="16">
      <c r="A16" t="inlineStr">
        <is>
          <t>RIV001</t>
        </is>
      </c>
      <c r="B16" t="inlineStr">
        <is>
          <t>Rivals</t>
        </is>
      </c>
      <c r="C16" t="inlineStr">
        <is>
          <t>T. Courtois</t>
        </is>
      </c>
      <c r="D16" t="inlineStr">
        <is>
          <t>TW</t>
        </is>
      </c>
      <c r="E16" s="26" t="n">
        <v>4</v>
      </c>
      <c r="F16" t="n">
        <v>0</v>
      </c>
      <c r="G16" t="n">
        <v>0</v>
      </c>
    </row>
    <row r="17">
      <c r="A17" t="inlineStr">
        <is>
          <t>RIV001</t>
        </is>
      </c>
      <c r="B17" t="inlineStr">
        <is>
          <t>Rivals</t>
        </is>
      </c>
      <c r="C17" t="inlineStr">
        <is>
          <t>Marquinhos</t>
        </is>
      </c>
      <c r="D17" t="inlineStr">
        <is>
          <t>AW</t>
        </is>
      </c>
      <c r="F17" t="n">
        <v>0</v>
      </c>
      <c r="G17" t="n">
        <v>0</v>
      </c>
    </row>
    <row r="18">
      <c r="A18" t="inlineStr">
        <is>
          <t>RIV001</t>
        </is>
      </c>
      <c r="B18" t="inlineStr">
        <is>
          <t>Rivals</t>
        </is>
      </c>
      <c r="C18" t="inlineStr">
        <is>
          <t>T. Bischof</t>
        </is>
      </c>
      <c r="D18" t="inlineStr">
        <is>
          <t>AW</t>
        </is>
      </c>
      <c r="F18" t="n">
        <v>0</v>
      </c>
      <c r="G18" t="n">
        <v>0</v>
      </c>
    </row>
    <row r="19">
      <c r="A19" t="inlineStr">
        <is>
          <t>RIV001</t>
        </is>
      </c>
      <c r="B19" t="inlineStr">
        <is>
          <t>Rivals</t>
        </is>
      </c>
      <c r="C19" t="inlineStr">
        <is>
          <t>J. Zanetti</t>
        </is>
      </c>
      <c r="D19" t="inlineStr">
        <is>
          <t>AW</t>
        </is>
      </c>
      <c r="F19" t="n">
        <v>0</v>
      </c>
      <c r="G19" t="n">
        <v>0</v>
      </c>
    </row>
    <row r="1646">
      <c r="C1646" s="17" t="n"/>
      <c r="Y1646" s="18" t="n"/>
    </row>
  </sheetData>
  <autoFilter ref="A1:I2077"/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2025-12-23T19:07:29Z</dcterms:created>
  <dcterms:modified xmlns:dcterms="http://purl.org/dc/terms/" xmlns:xsi="http://www.w3.org/2001/XMLSchema-instance" xsi:type="dcterms:W3CDTF">2026-02-24T13:16:50Z</dcterms:modified>
</cp:coreProperties>
</file>