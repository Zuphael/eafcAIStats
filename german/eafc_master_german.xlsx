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kaypuppa/Library/Mobile Documents/com~apple~CloudDocs/EA FC 26/"/>
    </mc:Choice>
  </mc:AlternateContent>
  <xr:revisionPtr revIDLastSave="0" documentId="13_ncr:1_{473737B4-8764-7B4C-B2A3-7CCF0FAFBBBA}" xr6:coauthVersionLast="47" xr6:coauthVersionMax="47" xr10:uidLastSave="{00000000-0000-0000-0000-000000000000}"/>
  <bookViews>
    <workbookView xWindow="0" yWindow="2600" windowWidth="36000" windowHeight="20580" xr2:uid="{00000000-000D-0000-FFFF-FFFF00000000}"/>
  </bookViews>
  <sheets>
    <sheet name="Dashboard" sheetId="1" r:id="rId1"/>
    <sheet name="DataSpiele" sheetId="2" r:id="rId2"/>
    <sheet name="DataSpieler" sheetId="3" r:id="rId3"/>
  </sheets>
  <definedNames>
    <definedName name="_xlnm._FilterDatabase" localSheetId="1" hidden="1">DataSpiele!$A$1:$AC$249</definedName>
    <definedName name="_xlnm._FilterDatabase" localSheetId="2" hidden="1">DataSpieler!$A$1:$I$4345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 a="1"/>
  <c r="M7" i="1" s="1"/>
  <c r="M8" i="1" a="1"/>
  <c r="M8" i="1" s="1"/>
  <c r="M9" i="1" a="1"/>
  <c r="M9" i="1" s="1"/>
  <c r="M10" i="1" a="1"/>
  <c r="M10" i="1" s="1"/>
  <c r="A2" i="1" a="1"/>
  <c r="M45" i="1" l="1" a="1"/>
  <c r="M45" i="1" s="1"/>
  <c r="N31" i="1" a="1"/>
  <c r="N31" i="1" s="1"/>
  <c r="L34" i="1" a="1"/>
  <c r="L34" i="1" s="1"/>
  <c r="M34" i="1" a="1"/>
  <c r="M34" i="1" s="1"/>
  <c r="L31" i="1" a="1"/>
  <c r="L31" i="1" s="1"/>
  <c r="N34" i="1" a="1"/>
  <c r="N34" i="1" s="1"/>
  <c r="M31" i="1" a="1"/>
  <c r="M31" i="1" s="1"/>
  <c r="L37" i="1" a="1"/>
  <c r="L37" i="1" s="1"/>
  <c r="I31" i="1" a="1"/>
  <c r="I31" i="1" s="1"/>
  <c r="M37" i="1" a="1"/>
  <c r="M37" i="1" s="1"/>
  <c r="H31" i="1" a="1"/>
  <c r="H31" i="1" s="1"/>
  <c r="L40" i="1" a="1"/>
  <c r="L40" i="1" s="1"/>
  <c r="M40" i="1" a="1"/>
  <c r="M40" i="1" s="1"/>
  <c r="L45" i="1" a="1"/>
  <c r="L45" i="1" s="1"/>
  <c r="A2" i="1"/>
  <c r="M13" i="1" s="1" a="1"/>
  <c r="M13" i="1" s="1"/>
  <c r="M20" i="1" a="1"/>
  <c r="M20" i="1" s="1"/>
  <c r="M17" i="1" a="1"/>
  <c r="M17" i="1" s="1"/>
  <c r="M27" i="1" a="1"/>
  <c r="M27" i="1" s="1"/>
  <c r="M19" i="1" a="1"/>
  <c r="M19" i="1" s="1"/>
  <c r="M26" i="1" a="1"/>
  <c r="M26" i="1" s="1"/>
  <c r="M18" i="1" a="1"/>
  <c r="M18" i="1" s="1"/>
  <c r="M25" i="1" a="1"/>
  <c r="M25" i="1" s="1"/>
  <c r="M16" i="1" a="1"/>
  <c r="M16" i="1" s="1"/>
  <c r="M24" i="1" a="1"/>
  <c r="M24" i="1" s="1"/>
  <c r="M15" i="1" a="1"/>
  <c r="M15" i="1" s="1"/>
  <c r="M14" i="1" a="1"/>
  <c r="M14" i="1" s="1"/>
  <c r="M22" i="1" a="1"/>
  <c r="M22" i="1" s="1"/>
  <c r="M23" i="1" a="1"/>
  <c r="M23" i="1" s="1"/>
  <c r="M21" i="1" a="1"/>
  <c r="M21" i="1" s="1"/>
  <c r="J42" i="1" a="1"/>
  <c r="J42" i="1" s="1"/>
  <c r="I24" i="1" a="1"/>
  <c r="I24" i="1" s="1"/>
  <c r="E18" i="1" a="1"/>
  <c r="E18" i="1" s="1"/>
  <c r="F16" i="1" a="1"/>
  <c r="F16" i="1" s="1"/>
  <c r="G13" i="1" a="1"/>
  <c r="G13" i="1" s="1"/>
  <c r="E10" i="1" a="1"/>
  <c r="E10" i="1" s="1"/>
  <c r="I6" i="1" a="1"/>
  <c r="I6" i="1" s="1"/>
  <c r="J4" i="1" a="1"/>
  <c r="J4" i="1" s="1"/>
  <c r="G6" i="1" a="1"/>
  <c r="G6" i="1" s="1"/>
  <c r="I26" i="1" a="1"/>
  <c r="I26" i="1" s="1"/>
  <c r="G24" i="1" a="1"/>
  <c r="G24" i="1" s="1"/>
  <c r="I21" i="1" a="1"/>
  <c r="I21" i="1" s="1"/>
  <c r="I19" i="1" a="1"/>
  <c r="I19" i="1" s="1"/>
  <c r="J17" i="1" a="1"/>
  <c r="J17" i="1" s="1"/>
  <c r="E16" i="1" a="1"/>
  <c r="E16" i="1" s="1"/>
  <c r="F13" i="1" a="1"/>
  <c r="F13" i="1" s="1"/>
  <c r="J11" i="1" a="1"/>
  <c r="J11" i="1" s="1"/>
  <c r="F8" i="1" a="1"/>
  <c r="F8" i="1" s="1"/>
  <c r="I4" i="1" a="1"/>
  <c r="I4" i="1" s="1"/>
  <c r="G26" i="1" a="1"/>
  <c r="G26" i="1" s="1"/>
  <c r="F24" i="1" a="1"/>
  <c r="F24" i="1" s="1"/>
  <c r="G21" i="1" a="1"/>
  <c r="G21" i="1" s="1"/>
  <c r="I17" i="1" a="1"/>
  <c r="I17" i="1" s="1"/>
  <c r="E13" i="1" a="1"/>
  <c r="E13" i="1" s="1"/>
  <c r="I11" i="1" a="1"/>
  <c r="I11" i="1" s="1"/>
  <c r="J9" i="1" a="1"/>
  <c r="J9" i="1" s="1"/>
  <c r="E8" i="1" a="1"/>
  <c r="E8" i="1" s="1"/>
  <c r="F6" i="1" a="1"/>
  <c r="F6" i="1" s="1"/>
  <c r="G5" i="1" a="1"/>
  <c r="G5" i="1" s="1"/>
  <c r="F26" i="1" a="1"/>
  <c r="F26" i="1" s="1"/>
  <c r="E24" i="1" a="1"/>
  <c r="E24" i="1" s="1"/>
  <c r="F21" i="1" a="1"/>
  <c r="F21" i="1" s="1"/>
  <c r="G19" i="1" a="1"/>
  <c r="G19" i="1" s="1"/>
  <c r="J14" i="1" a="1"/>
  <c r="J14" i="1" s="1"/>
  <c r="J12" i="1" a="1"/>
  <c r="J12" i="1" s="1"/>
  <c r="G11" i="1" a="1"/>
  <c r="G11" i="1" s="1"/>
  <c r="J7" i="1" a="1"/>
  <c r="J7" i="1" s="1"/>
  <c r="F4" i="1" a="1"/>
  <c r="F4" i="1" s="1"/>
  <c r="I9" i="1" a="1"/>
  <c r="I9" i="1" s="1"/>
  <c r="E4" i="1" a="1"/>
  <c r="E4" i="1" s="1"/>
  <c r="E26" i="1" a="1"/>
  <c r="E26" i="1" s="1"/>
  <c r="J22" i="1" a="1"/>
  <c r="J22" i="1" s="1"/>
  <c r="E21" i="1" a="1"/>
  <c r="E21" i="1" s="1"/>
  <c r="F19" i="1" a="1"/>
  <c r="F19" i="1" s="1"/>
  <c r="G17" i="1" a="1"/>
  <c r="G17" i="1" s="1"/>
  <c r="I14" i="1" a="1"/>
  <c r="I14" i="1" s="1"/>
  <c r="F11" i="1" a="1"/>
  <c r="F11" i="1" s="1"/>
  <c r="E6" i="1" a="1"/>
  <c r="E6" i="1" s="1"/>
  <c r="I7" i="1" a="1"/>
  <c r="I7" i="1" s="1"/>
  <c r="J25" i="1" a="1"/>
  <c r="J25" i="1" s="1"/>
  <c r="I22" i="1" a="1"/>
  <c r="I22" i="1" s="1"/>
  <c r="J20" i="1" a="1"/>
  <c r="J20" i="1" s="1"/>
  <c r="E19" i="1" a="1"/>
  <c r="E19" i="1" s="1"/>
  <c r="G14" i="1" a="1"/>
  <c r="G14" i="1" s="1"/>
  <c r="I12" i="1" a="1"/>
  <c r="I12" i="1" s="1"/>
  <c r="E11" i="1" a="1"/>
  <c r="E11" i="1" s="1"/>
  <c r="G9" i="1" a="1"/>
  <c r="G9" i="1" s="1"/>
  <c r="J5" i="1" a="1"/>
  <c r="J5" i="1" s="1"/>
  <c r="E5" i="1" a="1"/>
  <c r="E5" i="1" s="1"/>
  <c r="J6" i="1" a="1"/>
  <c r="J6" i="1" s="1"/>
  <c r="G8" i="1" a="1"/>
  <c r="G8" i="1" s="1"/>
  <c r="F10" i="1" a="1"/>
  <c r="F10" i="1" s="1"/>
  <c r="E12" i="1" a="1"/>
  <c r="E12" i="1" s="1"/>
  <c r="I13" i="1" a="1"/>
  <c r="I13" i="1" s="1"/>
  <c r="G16" i="1" a="1"/>
  <c r="G16" i="1" s="1"/>
  <c r="E20" i="1" a="1"/>
  <c r="E20" i="1" s="1"/>
  <c r="J24" i="1" a="1"/>
  <c r="J24" i="1" s="1"/>
  <c r="E7" i="1" a="1"/>
  <c r="E7" i="1" s="1"/>
  <c r="G10" i="1" a="1"/>
  <c r="G10" i="1" s="1"/>
  <c r="J13" i="1" a="1"/>
  <c r="J13" i="1" s="1"/>
  <c r="I16" i="1" a="1"/>
  <c r="I16" i="1" s="1"/>
  <c r="F18" i="1" a="1"/>
  <c r="F18" i="1" s="1"/>
  <c r="F20" i="1" a="1"/>
  <c r="F20" i="1" s="1"/>
  <c r="E22" i="1" a="1"/>
  <c r="E22" i="1" s="1"/>
  <c r="E25" i="1" a="1"/>
  <c r="E25" i="1" s="1"/>
  <c r="G4" i="1" a="1"/>
  <c r="G4" i="1" s="1"/>
  <c r="F5" i="1" a="1"/>
  <c r="F5" i="1" s="1"/>
  <c r="I8" i="1" a="1"/>
  <c r="I8" i="1" s="1"/>
  <c r="F7" i="1" a="1"/>
  <c r="F7" i="1" s="1"/>
  <c r="J8" i="1" a="1"/>
  <c r="J8" i="1" s="1"/>
  <c r="F12" i="1" a="1"/>
  <c r="F12" i="1" s="1"/>
  <c r="E14" i="1" a="1"/>
  <c r="E14" i="1" s="1"/>
  <c r="J16" i="1" a="1"/>
  <c r="J16" i="1" s="1"/>
  <c r="G18" i="1" a="1"/>
  <c r="G18" i="1" s="1"/>
  <c r="F22" i="1" a="1"/>
  <c r="F22" i="1" s="1"/>
  <c r="F25" i="1" a="1"/>
  <c r="F25" i="1" s="1"/>
  <c r="E9" i="1" a="1"/>
  <c r="E9" i="1" s="1"/>
  <c r="I10" i="1" a="1"/>
  <c r="I10" i="1" s="1"/>
  <c r="F14" i="1" a="1"/>
  <c r="F14" i="1" s="1"/>
  <c r="E17" i="1" a="1"/>
  <c r="E17" i="1" s="1"/>
  <c r="I18" i="1" a="1"/>
  <c r="I18" i="1" s="1"/>
  <c r="G20" i="1" a="1"/>
  <c r="G20" i="1" s="1"/>
  <c r="G22" i="1" a="1"/>
  <c r="G22" i="1" s="1"/>
  <c r="G25" i="1" a="1"/>
  <c r="G25" i="1" s="1"/>
  <c r="G7" i="1" a="1"/>
  <c r="G7" i="1" s="1"/>
  <c r="I5" i="1" a="1"/>
  <c r="I5" i="1" s="1"/>
  <c r="F9" i="1" a="1"/>
  <c r="F9" i="1" s="1"/>
  <c r="J10" i="1" a="1"/>
  <c r="J10" i="1" s="1"/>
  <c r="G12" i="1" a="1"/>
  <c r="G12" i="1" s="1"/>
  <c r="F17" i="1" a="1"/>
  <c r="F17" i="1" s="1"/>
  <c r="J18" i="1" a="1"/>
  <c r="J18" i="1" s="1"/>
  <c r="I20" i="1" a="1"/>
  <c r="I20" i="1" s="1"/>
  <c r="I25" i="1" a="1"/>
  <c r="I25" i="1" s="1"/>
  <c r="E44" i="1" l="1"/>
  <c r="D44" i="1" s="1"/>
  <c r="J31" i="1" a="1"/>
  <c r="J31" i="1" s="1"/>
  <c r="N24" i="1"/>
  <c r="P24" i="1"/>
  <c r="N16" i="1"/>
  <c r="P16" i="1"/>
  <c r="N25" i="1"/>
  <c r="P25" i="1"/>
  <c r="N18" i="1"/>
  <c r="P18" i="1"/>
  <c r="N26" i="1"/>
  <c r="P26" i="1"/>
  <c r="N19" i="1"/>
  <c r="P19" i="1"/>
  <c r="N21" i="1"/>
  <c r="P21" i="1"/>
  <c r="N27" i="1"/>
  <c r="P27" i="1"/>
  <c r="N23" i="1"/>
  <c r="P23" i="1"/>
  <c r="N17" i="1"/>
  <c r="P17" i="1"/>
  <c r="N22" i="1"/>
  <c r="P22" i="1"/>
  <c r="N20" i="1"/>
  <c r="P20" i="1"/>
  <c r="N14" i="1"/>
  <c r="P14" i="1"/>
  <c r="N13" i="1"/>
  <c r="O13" i="1" s="1"/>
  <c r="P13" i="1"/>
  <c r="N15" i="1"/>
  <c r="P15" i="1"/>
  <c r="J19" i="1" a="1"/>
  <c r="J19" i="1" s="1"/>
  <c r="J21" i="1" a="1"/>
  <c r="J21" i="1" s="1"/>
  <c r="J26" i="1" a="1"/>
  <c r="J26" i="1" s="1"/>
  <c r="I51" i="1" a="1"/>
  <c r="I51" i="1" s="1"/>
  <c r="J51" i="1" a="1"/>
  <c r="J51" i="1" s="1"/>
  <c r="I52" i="1" a="1"/>
  <c r="I52" i="1" s="1"/>
  <c r="J52" i="1" a="1"/>
  <c r="J52" i="1" s="1"/>
  <c r="I46" i="1" a="1"/>
  <c r="I46" i="1" s="1"/>
  <c r="J36" i="1" a="1"/>
  <c r="J36" i="1" s="1"/>
  <c r="I42" i="1" a="1"/>
  <c r="I42" i="1" s="1"/>
  <c r="J41" i="1" a="1"/>
  <c r="J41" i="1" s="1"/>
  <c r="J47" i="1" a="1"/>
  <c r="J47" i="1" s="1"/>
  <c r="J46" i="1" a="1"/>
  <c r="J46" i="1" s="1"/>
  <c r="I37" i="1" a="1"/>
  <c r="I37" i="1" s="1"/>
  <c r="I41" i="1" a="1"/>
  <c r="I41" i="1" s="1"/>
  <c r="I47" i="1" a="1"/>
  <c r="I47" i="1" s="1"/>
  <c r="J37" i="1" a="1"/>
  <c r="J37" i="1" s="1"/>
  <c r="I36" i="1" a="1"/>
  <c r="I36" i="1" s="1"/>
  <c r="L48" i="1"/>
  <c r="H26" i="1"/>
  <c r="H17" i="1"/>
  <c r="H24" i="1"/>
  <c r="H22" i="1"/>
  <c r="H16" i="1"/>
  <c r="H19" i="1"/>
  <c r="H18" i="1"/>
  <c r="H8" i="1"/>
  <c r="H14" i="1"/>
  <c r="H7" i="1"/>
  <c r="H13" i="1"/>
  <c r="F41" i="1" l="1"/>
  <c r="F39" i="1" s="1"/>
  <c r="D41" i="1"/>
  <c r="D39" i="1" s="1"/>
  <c r="E41" i="1"/>
  <c r="E39" i="1" s="1"/>
  <c r="O14" i="1"/>
  <c r="O15" i="1" s="1"/>
  <c r="O16" i="1" s="1"/>
  <c r="O17" i="1" s="1"/>
  <c r="H21" i="1"/>
  <c r="H25" i="1"/>
  <c r="H20" i="1"/>
  <c r="H11" i="1"/>
  <c r="H12" i="1"/>
  <c r="H9" i="1"/>
  <c r="H6" i="1"/>
  <c r="H10" i="1"/>
  <c r="H5" i="1"/>
  <c r="D36" i="1"/>
  <c r="D34" i="1" s="1"/>
  <c r="F31" i="1"/>
  <c r="F29" i="1" s="1"/>
  <c r="M48" i="1"/>
  <c r="E36" i="1"/>
  <c r="E34" i="1" s="1"/>
  <c r="F36" i="1"/>
  <c r="F34" i="1" s="1"/>
  <c r="D31" i="1"/>
  <c r="D29" i="1" s="1"/>
  <c r="E31" i="1"/>
  <c r="E29" i="1" s="1"/>
  <c r="H4" i="1"/>
  <c r="O18" i="1" l="1"/>
  <c r="O19" i="1" s="1"/>
  <c r="E46" i="1"/>
  <c r="D46" i="1" s="1"/>
  <c r="O20" i="1" l="1"/>
  <c r="O21" i="1" s="1"/>
  <c r="O22" i="1" s="1"/>
  <c r="O23" i="1" l="1"/>
  <c r="O24" i="1" s="1"/>
  <c r="O25" i="1" s="1"/>
  <c r="O26" i="1" s="1"/>
  <c r="O27" i="1" s="1"/>
  <c r="P40" i="1"/>
  <c r="P3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<sst xmlns="http://schemas.openxmlformats.org/spreadsheetml/2006/main" count="142" uniqueCount="115">
  <si>
    <t>Statistics</t>
  </si>
  <si>
    <t>Main Squad</t>
  </si>
  <si>
    <t>Games</t>
  </si>
  <si>
    <t>Goals</t>
  </si>
  <si>
    <t>Assists</t>
  </si>
  <si>
    <t>Contributions</t>
  </si>
  <si>
    <t>MOTM</t>
  </si>
  <si>
    <t>Avg. Rating</t>
  </si>
  <si>
    <t>C. Pina</t>
  </si>
  <si>
    <t>J. Cruyff</t>
  </si>
  <si>
    <t>M. Salah</t>
  </si>
  <si>
    <t>F. Valverde</t>
  </si>
  <si>
    <t>G. Chiellini</t>
  </si>
  <si>
    <t>T. Courtois</t>
  </si>
  <si>
    <t>Bench</t>
  </si>
  <si>
    <t>Legacy</t>
  </si>
  <si>
    <t>Current Record</t>
  </si>
  <si>
    <t>Goals Difference</t>
  </si>
  <si>
    <t>Clean Sheets</t>
  </si>
  <si>
    <t>Won</t>
  </si>
  <si>
    <t>Lost</t>
  </si>
  <si>
    <t>Scored</t>
  </si>
  <si>
    <t>Conceded</t>
  </si>
  <si>
    <t>Rage Quit</t>
  </si>
  <si>
    <t>Avg Goals</t>
  </si>
  <si>
    <t>Avg. Posession</t>
  </si>
  <si>
    <t>Max Win Streak</t>
  </si>
  <si>
    <t>Top Goals</t>
  </si>
  <si>
    <t>Top Contributions</t>
  </si>
  <si>
    <t>Top Assist</t>
  </si>
  <si>
    <t>Best Avg. Rating</t>
  </si>
  <si>
    <t>Most MOTM</t>
  </si>
  <si>
    <t>Matches</t>
  </si>
  <si>
    <t>Streak</t>
  </si>
  <si>
    <t>SpielID</t>
  </si>
  <si>
    <t>Spielkategorie</t>
  </si>
  <si>
    <t>Datum</t>
  </si>
  <si>
    <t>HeimT</t>
  </si>
  <si>
    <t>AuswärtsT</t>
  </si>
  <si>
    <t>Heim</t>
  </si>
  <si>
    <t>Auswärts</t>
  </si>
  <si>
    <t>Ergebnis</t>
  </si>
  <si>
    <t>Wo</t>
  </si>
  <si>
    <t>Ballbesitiz</t>
  </si>
  <si>
    <t>Schüsse</t>
  </si>
  <si>
    <t>Schusspräzision</t>
  </si>
  <si>
    <t>xGoals</t>
  </si>
  <si>
    <t>Pässe</t>
  </si>
  <si>
    <t>Erfolgreiche Pässe</t>
  </si>
  <si>
    <t>Erfolgreiche Dribblings</t>
  </si>
  <si>
    <t>Gelbe Karten</t>
  </si>
  <si>
    <t>Rote Karten</t>
  </si>
  <si>
    <t>Abbruchgrund</t>
  </si>
  <si>
    <t>Spieldauer</t>
  </si>
  <si>
    <t>CleanSheet</t>
  </si>
  <si>
    <t>Rivals</t>
  </si>
  <si>
    <t>Squadbattles</t>
  </si>
  <si>
    <t>Name</t>
  </si>
  <si>
    <t>Position</t>
  </si>
  <si>
    <t>Bewertung</t>
  </si>
  <si>
    <t>Tore</t>
  </si>
  <si>
    <t>Vorlagen</t>
  </si>
  <si>
    <t>Kommentar KI</t>
  </si>
  <si>
    <t>Spiel ID</t>
  </si>
  <si>
    <t>M. Essien</t>
  </si>
  <si>
    <t>Spieltyp</t>
  </si>
  <si>
    <t>Die letzten Spiele</t>
  </si>
  <si>
    <t>Verlängerung</t>
  </si>
  <si>
    <t>xGoalsOpp</t>
  </si>
  <si>
    <t>PässeOpp</t>
  </si>
  <si>
    <t>Erfolgreiche Pässe Opp</t>
  </si>
  <si>
    <t>SchüsseOpp</t>
  </si>
  <si>
    <t>SchusspräzisionOpp</t>
  </si>
  <si>
    <t>Draw</t>
  </si>
  <si>
    <t>Total</t>
  </si>
  <si>
    <t>Average</t>
  </si>
  <si>
    <t>xG</t>
  </si>
  <si>
    <t>For</t>
  </si>
  <si>
    <t>Against</t>
  </si>
  <si>
    <t>Passing</t>
  </si>
  <si>
    <t>Total per Game</t>
  </si>
  <si>
    <t>Pass %</t>
  </si>
  <si>
    <t>On Target %</t>
  </si>
  <si>
    <t>Shooting</t>
  </si>
  <si>
    <t>SpieleIDs</t>
  </si>
  <si>
    <t>Yellow</t>
  </si>
  <si>
    <t>Red</t>
  </si>
  <si>
    <t>per Game</t>
  </si>
  <si>
    <t>Cards</t>
  </si>
  <si>
    <t>Elfmeterschießen</t>
  </si>
  <si>
    <t>Unsicher/Fehlt</t>
  </si>
  <si>
    <t>by PEN</t>
  </si>
  <si>
    <t>J. Zanetti</t>
  </si>
  <si>
    <t>by ET</t>
  </si>
  <si>
    <t>Max Loss Streak</t>
  </si>
  <si>
    <t>Home 
Games</t>
  </si>
  <si>
    <t>Vini Jr.</t>
  </si>
  <si>
    <t>N. Williams</t>
  </si>
  <si>
    <t>J. Irvine</t>
  </si>
  <si>
    <t>Jairzinho</t>
  </si>
  <si>
    <t>Startdatum?</t>
  </si>
  <si>
    <t>M. Bright</t>
  </si>
  <si>
    <t>F. Totti</t>
  </si>
  <si>
    <t>Mariona</t>
  </si>
  <si>
    <t>letzte SpielID der Kategorie</t>
  </si>
  <si>
    <t>Champions</t>
  </si>
  <si>
    <t>Live Event</t>
  </si>
  <si>
    <t>A. Russo</t>
  </si>
  <si>
    <t>S. Bacha</t>
  </si>
  <si>
    <t>Carlos Alberto</t>
  </si>
  <si>
    <t>Marquinhos</t>
  </si>
  <si>
    <t>Spielstand</t>
  </si>
  <si>
    <t>Streak per 15 Matches</t>
  </si>
  <si>
    <t>alle</t>
  </si>
  <si>
    <t>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</si>
</sst>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2"/>
      <color rgb="FF0000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2F1DA"/>
        <bgColor rgb="FFD2F1DA"/>
      </patternFill>
    </fill>
    <fill>
      <patternFill patternType="solid">
        <fgColor rgb="FFFF9900"/>
        <bgColor rgb="FFFF9900"/>
      </patternFill>
    </fill>
    <fill>
      <patternFill patternType="solid">
        <fgColor rgb="FFB4E4E8"/>
        <bgColor rgb="FFB4E4E8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F6B3AE"/>
        <bgColor rgb="FFF6B3AE"/>
      </patternFill>
    </fill>
    <fill>
      <patternFill patternType="solid">
        <fgColor rgb="FFA4C2F4"/>
        <bgColor rgb="FFA4C2F4"/>
      </patternFill>
    </fill>
    <fill>
      <patternFill patternType="solid">
        <fgColor rgb="FF8FD7DC"/>
        <bgColor rgb="FF8FD7DC"/>
      </patternFill>
    </fill>
    <fill>
      <patternFill patternType="solid">
        <fgColor rgb="FFD9D9D9"/>
        <bgColor rgb="FFD9D9D9"/>
      </patternFill>
    </fill>
    <fill>
      <patternFill patternType="solid">
        <fgColor rgb="FFF28E85"/>
        <bgColor rgb="FFF28E85"/>
      </patternFill>
    </fill>
    <fill>
      <patternFill patternType="solid">
        <fgColor rgb="FF7AD592"/>
        <bgColor rgb="FF7AD592"/>
      </patternFill>
    </fill>
    <fill>
      <patternFill patternType="solid">
        <fgColor theme="5"/>
        <bgColor theme="5"/>
      </patternFill>
    </fill>
    <fill>
      <patternFill patternType="solid">
        <fgColor rgb="FFFFC000"/>
        <bgColor theme="5"/>
      </patternFill>
    </fill>
    <fill>
      <patternFill patternType="solid">
        <fgColor rgb="FFEA7131"/>
        <bgColor rgb="FF7AD592"/>
      </patternFill>
    </fill>
    <fill>
      <patternFill patternType="solid">
        <fgColor rgb="FFEA7131"/>
        <bgColor indexed="64"/>
      </patternFill>
    </fill>
    <fill>
      <patternFill patternType="solid">
        <fgColor rgb="FFF2F2F2"/>
      </patternFill>
    </fill>
    <fill>
      <patternFill patternType="solid">
        <fgColor rgb="FF7AD59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rgb="FF000000"/>
      </top>
      <bottom style="thick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indexed="64"/>
      </bottom>
      <diagonal/>
    </border>
    <border>
      <left/>
      <right style="thick">
        <color rgb="FF000000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rgb="FF000000"/>
      </top>
      <bottom style="thin">
        <color indexed="64"/>
      </bottom>
      <diagonal/>
    </border>
    <border>
      <left style="medium">
        <color indexed="64"/>
      </left>
      <right/>
      <top style="thick">
        <color rgb="FF000000"/>
      </top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 style="thin">
        <color indexed="64"/>
      </left>
      <right style="thick">
        <color rgb="FF000000"/>
      </right>
      <top style="thick">
        <color rgb="FF000000"/>
      </top>
      <bottom/>
      <diagonal/>
    </border>
    <border>
      <left style="thin">
        <color indexed="64"/>
      </left>
      <right style="thick">
        <color rgb="FF000000"/>
      </right>
      <top/>
      <bottom style="thick">
        <color rgb="FF000000"/>
      </bottom>
      <diagonal/>
    </border>
    <border>
      <left style="thin">
        <color indexed="64"/>
      </left>
      <right style="thick">
        <color rgb="FF000000"/>
      </right>
      <top style="thick">
        <color rgb="FF000000"/>
      </top>
      <bottom style="thin">
        <color indexed="64"/>
      </bottom>
      <diagonal/>
    </border>
    <border>
      <left style="medium">
        <color indexed="64"/>
      </left>
      <right/>
      <top style="thick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rgb="FF000000"/>
      </top>
      <bottom/>
      <diagonal/>
    </border>
    <border>
      <left style="thick">
        <color indexed="64"/>
      </left>
      <right style="medium">
        <color indexed="64"/>
      </right>
      <top/>
      <bottom style="thick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indexed="64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indexed="64"/>
      </right>
      <top style="thick">
        <color rgb="FF000000"/>
      </top>
      <bottom style="thick">
        <color rgb="FF000000"/>
      </bottom>
      <diagonal/>
    </border>
  </borders>
  <cellStyleXfs count="5">
    <xf numFmtId="0" fontId="0" fillId="0" borderId="0"/>
    <xf numFmtId="9" fontId="1" fillId="0" borderId="0"/>
    <xf numFmtId="0" fontId="9" fillId="17" borderId="32" applyNumberFormat="0" applyAlignment="0" applyProtection="0"/>
    <xf numFmtId="0" fontId="10" fillId="19" borderId="0" applyNumberFormat="0" applyBorder="0" applyAlignment="0" applyProtection="0"/>
    <xf numFmtId="0" fontId="11" fillId="20" borderId="0" applyNumberFormat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2" fontId="3" fillId="10" borderId="3" xfId="0" applyNumberFormat="1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7" fillId="0" borderId="0" xfId="0" applyFont="1"/>
    <xf numFmtId="0" fontId="3" fillId="11" borderId="5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/>
    <xf numFmtId="46" fontId="0" fillId="0" borderId="0" xfId="0" applyNumberFormat="1"/>
    <xf numFmtId="0" fontId="3" fillId="14" borderId="5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left" vertical="center" indent="1"/>
    </xf>
    <xf numFmtId="0" fontId="3" fillId="12" borderId="9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right" vertical="center" indent="1"/>
    </xf>
    <xf numFmtId="0" fontId="3" fillId="12" borderId="10" xfId="0" applyFont="1" applyFill="1" applyBorder="1" applyAlignment="1">
      <alignment horizontal="right" vertical="center" indent="1"/>
    </xf>
    <xf numFmtId="0" fontId="3" fillId="12" borderId="17" xfId="0" applyFont="1" applyFill="1" applyBorder="1" applyAlignment="1">
      <alignment horizontal="right" vertical="center" indent="1"/>
    </xf>
    <xf numFmtId="0" fontId="3" fillId="12" borderId="17" xfId="0" applyFont="1" applyFill="1" applyBorder="1" applyAlignment="1">
      <alignment horizontal="center" vertical="center"/>
    </xf>
    <xf numFmtId="0" fontId="8" fillId="0" borderId="0" xfId="0" applyFont="1"/>
    <xf numFmtId="2" fontId="0" fillId="0" borderId="0" xfId="0" applyNumberFormat="1"/>
    <xf numFmtId="0" fontId="3" fillId="11" borderId="21" xfId="0" applyFont="1" applyFill="1" applyBorder="1" applyAlignment="1">
      <alignment horizontal="center" vertical="center"/>
    </xf>
    <xf numFmtId="0" fontId="3" fillId="11" borderId="29" xfId="0" applyFont="1" applyFill="1" applyBorder="1" applyAlignment="1">
      <alignment horizontal="center" vertical="center"/>
    </xf>
    <xf numFmtId="2" fontId="3" fillId="12" borderId="27" xfId="0" applyNumberFormat="1" applyFont="1" applyFill="1" applyBorder="1" applyAlignment="1">
      <alignment horizontal="center" vertical="center"/>
    </xf>
    <xf numFmtId="2" fontId="3" fillId="12" borderId="28" xfId="0" applyNumberFormat="1" applyFont="1" applyFill="1" applyBorder="1" applyAlignment="1">
      <alignment horizontal="center" vertical="center"/>
    </xf>
    <xf numFmtId="2" fontId="3" fillId="15" borderId="26" xfId="0" applyNumberFormat="1" applyFont="1" applyFill="1" applyBorder="1" applyAlignment="1">
      <alignment horizontal="center" vertical="center"/>
    </xf>
    <xf numFmtId="2" fontId="3" fillId="15" borderId="20" xfId="0" applyNumberFormat="1" applyFont="1" applyFill="1" applyBorder="1" applyAlignment="1">
      <alignment horizontal="center" vertical="center"/>
    </xf>
    <xf numFmtId="1" fontId="3" fillId="12" borderId="27" xfId="0" applyNumberFormat="1" applyFont="1" applyFill="1" applyBorder="1" applyAlignment="1">
      <alignment horizontal="center" vertical="center"/>
    </xf>
    <xf numFmtId="1" fontId="3" fillId="15" borderId="26" xfId="0" applyNumberFormat="1" applyFont="1" applyFill="1" applyBorder="1" applyAlignment="1">
      <alignment horizontal="center" vertical="center"/>
    </xf>
    <xf numFmtId="164" fontId="3" fillId="12" borderId="28" xfId="0" applyNumberFormat="1" applyFont="1" applyFill="1" applyBorder="1" applyAlignment="1">
      <alignment horizontal="center" vertical="center"/>
    </xf>
    <xf numFmtId="164" fontId="3" fillId="15" borderId="20" xfId="0" applyNumberFormat="1" applyFont="1" applyFill="1" applyBorder="1" applyAlignment="1">
      <alignment horizontal="center" vertical="center"/>
    </xf>
    <xf numFmtId="14" fontId="8" fillId="0" borderId="0" xfId="0" applyNumberFormat="1" applyFont="1"/>
    <xf numFmtId="46" fontId="8" fillId="0" borderId="0" xfId="0" applyNumberFormat="1" applyFont="1"/>
    <xf numFmtId="1" fontId="3" fillId="12" borderId="26" xfId="0" applyNumberFormat="1" applyFont="1" applyFill="1" applyBorder="1" applyAlignment="1">
      <alignment horizontal="center" vertical="center"/>
    </xf>
    <xf numFmtId="2" fontId="3" fillId="12" borderId="20" xfId="0" applyNumberFormat="1" applyFont="1" applyFill="1" applyBorder="1" applyAlignment="1">
      <alignment horizontal="center" vertical="center"/>
    </xf>
    <xf numFmtId="0" fontId="10" fillId="19" borderId="0" xfId="3"/>
    <xf numFmtId="0" fontId="11" fillId="20" borderId="0" xfId="4"/>
    <xf numFmtId="20" fontId="0" fillId="0" borderId="0" xfId="0" applyNumberFormat="1"/>
    <xf numFmtId="0" fontId="9" fillId="17" borderId="32" xfId="2" applyAlignment="1">
      <alignment horizontal="left" indent="1"/>
    </xf>
    <xf numFmtId="14" fontId="9" fillId="17" borderId="32" xfId="2" applyNumberFormat="1" applyAlignment="1">
      <alignment horizontal="left" indent="1"/>
    </xf>
    <xf numFmtId="16" fontId="0" fillId="0" borderId="0" xfId="0" applyNumberFormat="1"/>
    <xf numFmtId="0" fontId="0" fillId="0" borderId="0" xfId="0" applyAlignment="1">
      <alignment horizontal="left" indent="1"/>
    </xf>
    <xf numFmtId="0" fontId="3" fillId="11" borderId="5" xfId="0" applyFont="1" applyFill="1" applyBorder="1" applyAlignment="1">
      <alignment horizontal="center" vertical="center"/>
    </xf>
    <xf numFmtId="0" fontId="0" fillId="0" borderId="4" xfId="0" applyBorder="1"/>
    <xf numFmtId="1" fontId="3" fillId="15" borderId="24" xfId="0" applyNumberFormat="1" applyFont="1" applyFill="1" applyBorder="1" applyAlignment="1">
      <alignment horizontal="center" vertical="center" wrapText="1"/>
    </xf>
    <xf numFmtId="0" fontId="0" fillId="16" borderId="25" xfId="0" applyFill="1" applyBorder="1" applyAlignment="1">
      <alignment wrapText="1"/>
    </xf>
    <xf numFmtId="0" fontId="3" fillId="11" borderId="30" xfId="0" applyFont="1" applyFill="1" applyBorder="1" applyAlignment="1">
      <alignment horizontal="center" vertical="center" wrapText="1"/>
    </xf>
    <xf numFmtId="0" fontId="0" fillId="0" borderId="31" xfId="0" applyBorder="1" applyAlignment="1">
      <alignment wrapText="1"/>
    </xf>
    <xf numFmtId="0" fontId="3" fillId="12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1" fontId="3" fillId="12" borderId="24" xfId="0" applyNumberFormat="1" applyFont="1" applyFill="1" applyBorder="1" applyAlignment="1">
      <alignment horizontal="center" vertical="center" wrapText="1"/>
    </xf>
    <xf numFmtId="0" fontId="0" fillId="18" borderId="25" xfId="0" applyFill="1" applyBorder="1" applyAlignment="1">
      <alignment wrapText="1"/>
    </xf>
    <xf numFmtId="0" fontId="0" fillId="0" borderId="6" xfId="0" applyBorder="1"/>
    <xf numFmtId="164" fontId="3" fillId="12" borderId="16" xfId="1" applyNumberFormat="1" applyFont="1" applyFill="1" applyBorder="1" applyAlignment="1">
      <alignment horizontal="center" vertical="center"/>
    </xf>
    <xf numFmtId="164" fontId="0" fillId="0" borderId="13" xfId="0" applyNumberFormat="1" applyBorder="1"/>
    <xf numFmtId="0" fontId="3" fillId="12" borderId="5" xfId="0" applyFont="1" applyFill="1" applyBorder="1" applyAlignment="1">
      <alignment horizontal="center" vertical="center"/>
    </xf>
    <xf numFmtId="2" fontId="3" fillId="12" borderId="6" xfId="0" applyNumberFormat="1" applyFont="1" applyFill="1" applyBorder="1" applyAlignment="1">
      <alignment horizontal="center" vertical="center"/>
    </xf>
    <xf numFmtId="1" fontId="3" fillId="12" borderId="5" xfId="0" applyNumberFormat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0" fillId="0" borderId="19" xfId="0" applyBorder="1"/>
    <xf numFmtId="0" fontId="6" fillId="14" borderId="5" xfId="0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horizontal="center" vertical="center" wrapText="1"/>
    </xf>
    <xf numFmtId="0" fontId="0" fillId="0" borderId="12" xfId="0" applyBorder="1"/>
    <xf numFmtId="1" fontId="3" fillId="12" borderId="14" xfId="0" applyNumberFormat="1" applyFont="1" applyFill="1" applyBorder="1" applyAlignment="1">
      <alignment horizontal="center" vertical="center"/>
    </xf>
    <xf numFmtId="1" fontId="0" fillId="0" borderId="11" xfId="0" applyNumberFormat="1" applyBorder="1"/>
    <xf numFmtId="0" fontId="3" fillId="10" borderId="18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5" fillId="11" borderId="14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3" xfId="0" applyBorder="1"/>
    <xf numFmtId="0" fontId="3" fillId="10" borderId="3" xfId="0" applyFont="1" applyFill="1" applyBorder="1" applyAlignment="1">
      <alignment horizontal="left" vertical="center"/>
    </xf>
    <xf numFmtId="0" fontId="0" fillId="0" borderId="2" xfId="0" applyBorder="1"/>
    <xf numFmtId="0" fontId="5" fillId="11" borderId="33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1" xfId="0" applyBorder="1"/>
    <xf numFmtId="2" fontId="6" fillId="12" borderId="5" xfId="0" applyNumberFormat="1" applyFont="1" applyFill="1" applyBorder="1" applyAlignment="1">
      <alignment horizontal="center" vertical="center"/>
    </xf>
    <xf numFmtId="2" fontId="6" fillId="13" borderId="5" xfId="0" applyNumberFormat="1" applyFont="1" applyFill="1" applyBorder="1" applyAlignment="1">
      <alignment horizontal="center" vertical="center"/>
    </xf>
    <xf numFmtId="0" fontId="0" fillId="0" borderId="7" xfId="0" applyBorder="1"/>
    <xf numFmtId="0" fontId="3" fillId="0" borderId="0" xfId="0" applyFont="1" applyAlignment="1">
      <alignment horizontal="left" vertical="center"/>
    </xf>
    <xf numFmtId="0" fontId="0" fillId="0" borderId="0" xfId="0"/>
  </cellXfs>
  <cellStyles count="5">
    <cellStyle name="Ausgabe" xfId="2" builtinId="21"/>
    <cellStyle name="Gut" xfId="3" builtinId="26"/>
    <cellStyle name="Prozent" xfId="1" builtinId="5"/>
    <cellStyle name="Schlecht" xfId="4" builtinId="27"/>
    <cellStyle name="Standard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EA7131"/>
        </patternFill>
      </fill>
    </dxf>
    <dxf>
      <fill>
        <patternFill>
          <bgColor rgb="FFFFC000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BC8D03"/>
          <bgColor rgb="FFBC8D03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mruColors>
      <color rgb="FF7AD592"/>
      <color rgb="FFEA71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6"/>
  <sheetViews>
    <sheetView tabSelected="1" topLeftCell="B1" zoomScaleNormal="100" workbookViewId="0">
      <selection activeCell="K7" sqref="K7"/>
    </sheetView>
  </sheetViews>
  <sheetFormatPr baseColWidth="10" defaultRowHeight="16" x14ac:dyDescent="0.2"/>
  <cols>
    <col min="1" max="1" width="10.83203125" hidden="1" customWidth="1"/>
    <col min="3" max="10" width="12.83203125" customWidth="1"/>
    <col min="12" max="12" width="15.33203125" bestFit="1" customWidth="1"/>
    <col min="13" max="13" width="13.83203125" customWidth="1"/>
    <col min="14" max="14" width="14.83203125" bestFit="1" customWidth="1"/>
  </cols>
  <sheetData>
    <row r="1" spans="1:16" ht="17" customHeight="1" thickBot="1" x14ac:dyDescent="0.25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</row>
    <row r="2" spans="1:16" ht="17" customHeight="1" thickBot="1" x14ac:dyDescent="0.25">
      <c r="A2" s="1" t="e" cm="1" vm="1">
        <f t="array" ref="A2">_xlfn.LET(
  _xlpm.Kat,Dashboard!$M$2,
  _xlpm.Xraw,Dashboard!$M$3,
  _xlpm.DRaw,Dashboard!$M$4,
  _xlpm.IstAlleKat,AND(ISTEXT(_xlpm.Kat),LOWER(_xlpm.Kat)="alle"),
  _xlpm.IstAlleX,AND(ISTEXT(_xlpm.Xraw),LOWER(_xlpm.Xraw)="alle"),
  _xlpm.IDs0,DataSpiele!$A$2:$A$99942,
  _xlpm.Kats0,DataSpiele!$B$2:$B$99942,
  _xlpm.Dat0,DataSpiele!$C$2:$C$99942,
  _xlpm.IDs,_xlfn._xlws.FILTER(_xlpm.IDs0,_xlpm.IDs0&lt;&gt;""),
  _xlpm.Kats,_xlfn._xlws.FILTER(_xlpm.Kats0,_xlpm.IDs0&lt;&gt;""),
  _xlpm.Dat,_xlfn._xlws.FILTER(_xlpm.Dat0,_xlpm.IDs0&lt;&gt;""),
  _xlpm.DMin,IF(_xlpm.DRaw="","",IFERROR(--_xlpm.DRaw,DATEVALUE(_xlpm.DRaw))),
  _xlpm.HatDatum,_xlpm.DRaw&lt;&gt;"",
  _xlpm.IDsGef,_xlfn._xlws.FILTER(
    _xlpm.IDs,
    (IF(_xlpm.IstAlleKat,TRUE,_xlpm.Kats=_xlpm.Kat)) *
    (IF(_xlpm.HatDatum,_xlpm.Dat&gt;=_xlpm.DMin,TRUE))
  ),
  _xlpm.n,ROWS(_xlpm.IDsGef),
  _xlpm.X,IF(_xlpm.IstAlleX,_xlpm.n,IFERROR(--_xlpm.Xraw,VALUE(_xlpm.Xraw))),
  _xlpm.k,MIN(_xlpm.X,_xlpm.n),
  INDEX(_xlpm.IDsGef,_xlfn.SEQUENCE(_xlpm.k,1,_xlpm.n-_xlpm.k+1,1))
)</f>
        <v>#VALUE!</v>
      </c>
      <c r="B2" s="1"/>
      <c r="C2" s="86" t="s">
        <v>0</v>
      </c>
      <c r="D2" s="87"/>
      <c r="E2" s="87"/>
      <c r="F2" s="87"/>
      <c r="G2" s="87"/>
      <c r="H2" s="87"/>
      <c r="I2" s="87"/>
      <c r="J2" s="81"/>
      <c r="L2" t="s">
        <v>65</v>
      </c>
      <c r="M2" s="45" t="s">
        <v>114</v>
      </c>
    </row>
    <row r="3" spans="1:16" ht="17" customHeight="1" thickBot="1" x14ac:dyDescent="0.25">
      <c r="A3" s="1"/>
      <c r="B3" s="1"/>
      <c r="C3" s="85" t="s">
        <v>1</v>
      </c>
      <c r="D3" s="81"/>
      <c r="E3" s="2" t="s">
        <v>2</v>
      </c>
      <c r="F3" s="3" t="s">
        <v>3</v>
      </c>
      <c r="G3" s="4" t="s">
        <v>4</v>
      </c>
      <c r="H3" s="5" t="s">
        <v>5</v>
      </c>
      <c r="I3" s="6" t="s">
        <v>6</v>
      </c>
      <c r="J3" s="7" t="s">
        <v>7</v>
      </c>
      <c r="L3" t="s">
        <v>66</v>
      </c>
      <c r="M3" s="45" t="s">
        <v>113</v>
      </c>
    </row>
    <row r="4" spans="1:16" ht="17" customHeight="1" thickBot="1" x14ac:dyDescent="0.25">
      <c r="A4" s="1"/>
      <c r="B4" s="1"/>
      <c r="C4" s="80" t="s">
        <v>107</v>
      </c>
      <c r="D4" s="81"/>
      <c r="E4" s="8" cm="1">
        <f t="array" ref="E4">SUMPRODUCT(
  --(DataSpieler!$C$2:$C$99887=$C4),
  --(DataSpieler!$E$2:$E$99887&gt;0),
  --ISNUMBER(MATCH(DataSpieler!$A$2:$A$99887,_xlfn.ANCHORARRAY($A$2),0))
)</f>
        <v>0</v>
      </c>
      <c r="F4" s="9" cm="1">
        <f t="array" ref="F4">SUMPRODUCT(
  DataSpieler!$F$2:$F$99887,
  --(DataSpieler!$C$2:$C$99887=C4),
  --ISNUMBER(MATCH(DataSpieler!$A$2:$A$99887,_xlfn.ANCHORARRAY($A$2),0))
)</f>
        <v>0</v>
      </c>
      <c r="G4" s="9" cm="1">
        <f t="array" ref="G4">SUMPRODUCT(
  DataSpieler!$G$2:$G$99887,
  --(DataSpieler!$C$2:$C$99887=C4),
  --ISNUMBER(MATCH(DataSpieler!$A$2:$A$99887,_xlfn.ANCHORARRAY($A$2),0))
)</f>
        <v>0</v>
      </c>
      <c r="H4" s="9">
        <f t="shared" ref="H4" si="0">F4+G4</f>
        <v>0</v>
      </c>
      <c r="I4" s="9" cm="1">
        <f t="array" ref="I4">SUMPRODUCT(
  --(DataSpieler!$C$2:$C$99887=C4),
  --(DataSpieler!$H$2:$H$99887="x"),
  --ISNUMBER(MATCH(DataSpieler!$A$2:$A$99887,_xlfn.ANCHORARRAY($A$2),0))
)</f>
        <v>0</v>
      </c>
      <c r="J4" s="10" t="str" cm="1">
        <f t="array" ref="J4">IFERROR(
  AVERAGE(
    _xlfn._xlws.FILTER(
      DataSpieler!$E$2:$E$99887,
      (DataSpieler!$C$2:$C$99887=C4) *
      ISNUMBER(MATCH(DataSpieler!$A$2:$A$99887,_xlfn.ANCHORARRAY($A$2),0))
    )
  ),
  ""
)</f>
        <v/>
      </c>
      <c r="L4" t="s">
        <v>100</v>
      </c>
      <c r="M4" s="46"/>
    </row>
    <row r="5" spans="1:16" ht="17" customHeight="1" thickBot="1" x14ac:dyDescent="0.25">
      <c r="A5" s="1"/>
      <c r="B5" s="1"/>
      <c r="C5" s="80" t="s">
        <v>96</v>
      </c>
      <c r="D5" s="81"/>
      <c r="E5" s="8" cm="1">
        <f t="array" ref="E5">SUMPRODUCT(
  --(DataSpieler!$C$2:$C$99887=$C5),
  --(DataSpieler!$E$2:$E$99887&gt;0),
  --ISNUMBER(MATCH(DataSpieler!$A$2:$A$99887,_xlfn.ANCHORARRAY($A$2),0))
)</f>
        <v>0</v>
      </c>
      <c r="F5" s="9" cm="1">
        <f t="array" ref="F5">SUMPRODUCT(
  DataSpieler!$F$2:$F$99887,
  --(DataSpieler!$C$2:$C$99887=C5),
  --ISNUMBER(MATCH(DataSpieler!$A$2:$A$99887,_xlfn.ANCHORARRAY($A$2),0))
)</f>
        <v>0</v>
      </c>
      <c r="G5" s="9" cm="1">
        <f t="array" ref="G5">SUMPRODUCT(
  DataSpieler!$G$2:$G$99887,
  --(DataSpieler!$C$2:$C$99887=C5),
  --ISNUMBER(MATCH(DataSpieler!$A$2:$A$99887,_xlfn.ANCHORARRAY($A$2),0))
)</f>
        <v>0</v>
      </c>
      <c r="H5" s="9">
        <f t="shared" ref="H5:H14" si="1">F5+G5</f>
        <v>0</v>
      </c>
      <c r="I5" s="9" cm="1">
        <f t="array" ref="I5">SUMPRODUCT(
  --(DataSpieler!$C$2:$C$99887=C5),
  --(DataSpieler!$H$2:$H$99887="x"),
  --ISNUMBER(MATCH(DataSpieler!$A$2:$A$99887,_xlfn.ANCHORARRAY($A$2),0))
)</f>
        <v>0</v>
      </c>
      <c r="J5" s="10" t="str" cm="1">
        <f t="array" ref="J5">IFERROR(
  AVERAGE(
    _xlfn._xlws.FILTER(
      DataSpieler!$E$2:$E$99887,
      (DataSpieler!$C$2:$C$99887=C5) *
      ISNUMBER(MATCH(DataSpieler!$A$2:$A$99887,_xlfn.ANCHORARRAY($A$2),0))
    )
  ),
  ""
)</f>
        <v/>
      </c>
    </row>
    <row r="6" spans="1:16" ht="17" customHeight="1" thickBot="1" x14ac:dyDescent="0.25">
      <c r="A6" s="1"/>
      <c r="B6" s="1"/>
      <c r="C6" s="80" t="s">
        <v>102</v>
      </c>
      <c r="D6" s="81"/>
      <c r="E6" s="8" cm="1">
        <f t="array" ref="E6">SUMPRODUCT(
  --(DataSpieler!$C$2:$C$99887=$C6),
  --(DataSpieler!$E$2:$E$99887&gt;0),
  --ISNUMBER(MATCH(DataSpieler!$A$2:$A$99887,_xlfn.ANCHORARRAY($A$2),0))
)</f>
        <v>0</v>
      </c>
      <c r="F6" s="9" cm="1">
        <f t="array" ref="F6">SUMPRODUCT(
  DataSpieler!$F$2:$F$99887,
  --(DataSpieler!$C$2:$C$99887=C6),
  --ISNUMBER(MATCH(DataSpieler!$A$2:$A$99887,_xlfn.ANCHORARRAY($A$2),0))
)</f>
        <v>0</v>
      </c>
      <c r="G6" s="9" cm="1">
        <f t="array" ref="G6">SUMPRODUCT(
  DataSpieler!$G$2:$G$99887,
  --(DataSpieler!$C$2:$C$99887=C6),
  --ISNUMBER(MATCH(DataSpieler!$A$2:$A$99887,_xlfn.ANCHORARRAY($A$2),0))
)</f>
        <v>0</v>
      </c>
      <c r="H6" s="9">
        <f t="shared" si="1"/>
        <v>0</v>
      </c>
      <c r="I6" s="9" cm="1">
        <f t="array" ref="I6">SUMPRODUCT(
  --(DataSpieler!$C$2:$C$99887=C6),
  --(DataSpieler!$H$2:$H$99887="x"),
  --ISNUMBER(MATCH(DataSpieler!$A$2:$A$99887,_xlfn.ANCHORARRAY($A$2),0))
)</f>
        <v>0</v>
      </c>
      <c r="J6" s="10" t="str" cm="1">
        <f t="array" ref="J6">IFERROR(
  AVERAGE(
    _xlfn._xlws.FILTER(
      DataSpieler!$E$2:$E$99887,
      (DataSpieler!$C$2:$C$99887=C6) *
      ISNUMBER(MATCH(DataSpieler!$A$2:$A$99887,_xlfn.ANCHORARRAY($A$2),0))
    )
  ),
  ""
)</f>
        <v/>
      </c>
      <c r="M6" s="48" t="s">
        <v>104</v>
      </c>
    </row>
    <row r="7" spans="1:16" ht="17" customHeight="1" thickBot="1" x14ac:dyDescent="0.25">
      <c r="A7" s="1"/>
      <c r="B7" s="1"/>
      <c r="C7" s="80" t="s">
        <v>99</v>
      </c>
      <c r="D7" s="81"/>
      <c r="E7" s="8" cm="1">
        <f t="array" ref="E7">SUMPRODUCT(
  --(DataSpieler!$C$2:$C$99887=$C7),
  --(DataSpieler!$E$2:$E$99887&gt;0),
  --ISNUMBER(MATCH(DataSpieler!$A$2:$A$99887,_xlfn.ANCHORARRAY($A$2),0))
)</f>
        <v>0</v>
      </c>
      <c r="F7" s="9" cm="1">
        <f t="array" ref="F7">SUMPRODUCT(
  DataSpieler!$F$2:$F$99887,
  --(DataSpieler!$C$2:$C$99887=C7),
  --ISNUMBER(MATCH(DataSpieler!$A$2:$A$99887,_xlfn.ANCHORARRAY($A$2),0))
)</f>
        <v>0</v>
      </c>
      <c r="G7" s="9" cm="1">
        <f t="array" ref="G7">SUMPRODUCT(
  DataSpieler!$G$2:$G$99887,
  --(DataSpieler!$C$2:$C$99887=C7),
  --ISNUMBER(MATCH(DataSpieler!$A$2:$A$99887,_xlfn.ANCHORARRAY($A$2),0))
)</f>
        <v>0</v>
      </c>
      <c r="H7" s="9">
        <f t="shared" si="1"/>
        <v>0</v>
      </c>
      <c r="I7" s="9" cm="1">
        <f t="array" ref="I7">SUMPRODUCT(
  --(DataSpieler!$C$2:$C$99887=C7),
  --(DataSpieler!$H$2:$H$99887="x"),
  --ISNUMBER(MATCH(DataSpieler!$A$2:$A$99887,_xlfn.ANCHORARRAY($A$2),0))
)</f>
        <v>0</v>
      </c>
      <c r="J7" s="10" t="str" cm="1">
        <f t="array" ref="J7">IFERROR(
  AVERAGE(
    _xlfn._xlws.FILTER(
      DataSpieler!$E$2:$E$99887,
      (DataSpieler!$C$2:$C$99887=C7) *
      ISNUMBER(MATCH(DataSpieler!$A$2:$A$99887,_xlfn.ANCHORARRAY($A$2),0))
    )
  ),
  ""
)</f>
        <v/>
      </c>
      <c r="L7" t="s">
        <v>56</v>
      </c>
      <c r="M7" s="48" t="str" cm="1">
        <f t="array" ref="M7">IFERROR(RIGHT(LOOKUP(
  2,
  1/(DataSpiele!B:B=Dashboard!L7),
  DataSpiele!A:A
),3),"000")</f>
        <v>000</v>
      </c>
    </row>
    <row r="8" spans="1:16" ht="17" customHeight="1" thickBot="1" x14ac:dyDescent="0.25">
      <c r="A8" s="1"/>
      <c r="B8" s="1"/>
      <c r="C8" s="80" t="s">
        <v>11</v>
      </c>
      <c r="D8" s="81"/>
      <c r="E8" s="8" cm="1">
        <f t="array" ref="E8">SUMPRODUCT(
  --(DataSpieler!$C$2:$C$99887=$C8),
  --(DataSpieler!$E$2:$E$99887&gt;0),
  --ISNUMBER(MATCH(DataSpieler!$A$2:$A$99887,_xlfn.ANCHORARRAY($A$2),0))
)</f>
        <v>0</v>
      </c>
      <c r="F8" s="9" cm="1">
        <f t="array" ref="F8">SUMPRODUCT(
  DataSpieler!$F$2:$F$99887,
  --(DataSpieler!$C$2:$C$99887=C8),
  --ISNUMBER(MATCH(DataSpieler!$A$2:$A$99887,_xlfn.ANCHORARRAY($A$2),0))
)</f>
        <v>0</v>
      </c>
      <c r="G8" s="9" cm="1">
        <f t="array" ref="G8">SUMPRODUCT(
  DataSpieler!$G$2:$G$99887,
  --(DataSpieler!$C$2:$C$99887=C8),
  --ISNUMBER(MATCH(DataSpieler!$A$2:$A$99887,_xlfn.ANCHORARRAY($A$2),0))
)</f>
        <v>0</v>
      </c>
      <c r="H8" s="9">
        <f t="shared" si="1"/>
        <v>0</v>
      </c>
      <c r="I8" s="9" cm="1">
        <f t="array" ref="I8">SUMPRODUCT(
  --(DataSpieler!$C$2:$C$99887=C8),
  --(DataSpieler!$H$2:$H$99887="x"),
  --ISNUMBER(MATCH(DataSpieler!$A$2:$A$99887,_xlfn.ANCHORARRAY($A$2),0))
)</f>
        <v>0</v>
      </c>
      <c r="J8" s="10" t="str" cm="1">
        <f t="array" ref="J8">IFERROR(
  AVERAGE(
    _xlfn._xlws.FILTER(
      DataSpieler!$E$2:$E$99887,
      (DataSpieler!$C$2:$C$99887=C8) *
      ISNUMBER(MATCH(DataSpieler!$A$2:$A$99887,_xlfn.ANCHORARRAY($A$2),0))
    )
  ),
  ""
)</f>
        <v/>
      </c>
      <c r="L8" t="s">
        <v>55</v>
      </c>
      <c r="M8" s="48" t="str" cm="1">
        <f t="array" ref="M8">IFERROR(RIGHT(LOOKUP(
  2,
  1/(DataSpiele!B:B=Dashboard!L8),
  DataSpiele!A:A
),3),"000")</f>
        <v>000</v>
      </c>
    </row>
    <row r="9" spans="1:16" ht="17" customHeight="1" thickBot="1" x14ac:dyDescent="0.25">
      <c r="A9" s="1"/>
      <c r="B9" s="1"/>
      <c r="C9" s="75" t="s">
        <v>103</v>
      </c>
      <c r="D9" s="76"/>
      <c r="E9" s="8" cm="1">
        <f t="array" ref="E9">SUMPRODUCT(
  --(DataSpieler!$C$2:$C$99887=$C9),
  --(DataSpieler!$E$2:$E$99887&gt;0),
  --ISNUMBER(MATCH(DataSpieler!$A$2:$A$99887,_xlfn.ANCHORARRAY($A$2),0))
)</f>
        <v>0</v>
      </c>
      <c r="F9" s="9" cm="1">
        <f t="array" ref="F9">SUMPRODUCT(
  DataSpieler!$F$2:$F$99887,
  --(DataSpieler!$C$2:$C$99887=C9),
  --ISNUMBER(MATCH(DataSpieler!$A$2:$A$99887,_xlfn.ANCHORARRAY($A$2),0))
)</f>
        <v>0</v>
      </c>
      <c r="G9" s="9" cm="1">
        <f t="array" ref="G9">SUMPRODUCT(
  DataSpieler!$G$2:$G$99887,
  --(DataSpieler!$C$2:$C$99887=C9),
  --ISNUMBER(MATCH(DataSpieler!$A$2:$A$99887,_xlfn.ANCHORARRAY($A$2),0))
)</f>
        <v>0</v>
      </c>
      <c r="H9" s="9">
        <f t="shared" si="1"/>
        <v>0</v>
      </c>
      <c r="I9" s="9" cm="1">
        <f t="array" ref="I9">SUMPRODUCT(
  --(DataSpieler!$C$2:$C$99887=C9),
  --(DataSpieler!$H$2:$H$99887="x"),
  --ISNUMBER(MATCH(DataSpieler!$A$2:$A$99887,_xlfn.ANCHORARRAY($A$2),0))
)</f>
        <v>0</v>
      </c>
      <c r="J9" s="10" t="str" cm="1">
        <f t="array" ref="J9">IFERROR(
  AVERAGE(
    _xlfn._xlws.FILTER(
      DataSpieler!$E$2:$E$99887,
      (DataSpieler!$C$2:$C$99887=C9) *
      ISNUMBER(MATCH(DataSpieler!$A$2:$A$99887,_xlfn.ANCHORARRAY($A$2),0))
    )
  ),
  ""
)</f>
        <v/>
      </c>
      <c r="L9" t="s">
        <v>105</v>
      </c>
      <c r="M9" s="48" t="str" cm="1">
        <f t="array" ref="M9">IFERROR(RIGHT(LOOKUP(
  2,
  1/(DataSpiele!B:B=Dashboard!L9),
  DataSpiele!A:A
),3),"000")</f>
        <v>000</v>
      </c>
    </row>
    <row r="10" spans="1:16" ht="17" customHeight="1" thickBot="1" x14ac:dyDescent="0.25">
      <c r="A10" s="1"/>
      <c r="B10" s="1"/>
      <c r="C10" s="80" t="s">
        <v>108</v>
      </c>
      <c r="D10" s="81"/>
      <c r="E10" s="8" cm="1">
        <f t="array" ref="E10">SUMPRODUCT(
  --(DataSpieler!$C$2:$C$99887=$C10),
  --(DataSpieler!$E$2:$E$99887&gt;0),
  --ISNUMBER(MATCH(DataSpieler!$A$2:$A$99887,_xlfn.ANCHORARRAY($A$2),0))
)</f>
        <v>0</v>
      </c>
      <c r="F10" s="9" cm="1">
        <f t="array" ref="F10">SUMPRODUCT(
  DataSpieler!$F$2:$F$99887,
  --(DataSpieler!$C$2:$C$99887=C10),
  --ISNUMBER(MATCH(DataSpieler!$A$2:$A$99887,_xlfn.ANCHORARRAY($A$2),0))
)</f>
        <v>0</v>
      </c>
      <c r="G10" s="9" cm="1">
        <f t="array" ref="G10">SUMPRODUCT(
  DataSpieler!$G$2:$G$99887,
  --(DataSpieler!$C$2:$C$99887=C10),
  --ISNUMBER(MATCH(DataSpieler!$A$2:$A$99887,_xlfn.ANCHORARRAY($A$2),0))
)</f>
        <v>0</v>
      </c>
      <c r="H10" s="9">
        <f t="shared" si="1"/>
        <v>0</v>
      </c>
      <c r="I10" s="9" cm="1">
        <f t="array" ref="I10">SUMPRODUCT(
  --(DataSpieler!$C$2:$C$99887=C10),
  --(DataSpieler!$H$2:$H$99887="x"),
  --ISNUMBER(MATCH(DataSpieler!$A$2:$A$99887,_xlfn.ANCHORARRAY($A$2),0))
)</f>
        <v>0</v>
      </c>
      <c r="J10" s="10" t="str" cm="1">
        <f t="array" ref="J10">IFERROR(
  AVERAGE(
    _xlfn._xlws.FILTER(
      DataSpieler!$E$2:$E$99887,
      (DataSpieler!$C$2:$C$99887=C10) *
      ISNUMBER(MATCH(DataSpieler!$A$2:$A$99887,_xlfn.ANCHORARRAY($A$2),0))
    )
  ),
  ""
)</f>
        <v/>
      </c>
      <c r="L10" t="s">
        <v>106</v>
      </c>
      <c r="M10" s="48" t="str" cm="1">
        <f t="array" ref="M10">IFERROR(
  RIGHT(
    LOOKUP(
      2,
      1/(DataSpiele!B:B=Dashboard!L10),
      DataSpiele!A:A
    ),
    3
  ),
  "000"
)</f>
        <v>000</v>
      </c>
    </row>
    <row r="11" spans="1:16" ht="17" customHeight="1" thickBot="1" x14ac:dyDescent="0.25">
      <c r="A11" s="1"/>
      <c r="B11" s="1"/>
      <c r="C11" s="80" t="s">
        <v>101</v>
      </c>
      <c r="D11" s="81"/>
      <c r="E11" s="8" cm="1">
        <f t="array" ref="E11">SUMPRODUCT(
  --(DataSpieler!$C$2:$C$99887=$C11),
  --(DataSpieler!$E$2:$E$99887&gt;0),
  --ISNUMBER(MATCH(DataSpieler!$A$2:$A$99887,_xlfn.ANCHORARRAY($A$2),0))
)</f>
        <v>0</v>
      </c>
      <c r="F11" s="9" cm="1">
        <f t="array" ref="F11">SUMPRODUCT(
  DataSpieler!$F$2:$F$99887,
  --(DataSpieler!$C$2:$C$99887=C11),
  --ISNUMBER(MATCH(DataSpieler!$A$2:$A$99887,_xlfn.ANCHORARRAY($A$2),0))
)</f>
        <v>0</v>
      </c>
      <c r="G11" s="9" cm="1">
        <f t="array" ref="G11">SUMPRODUCT(
  DataSpieler!$G$2:$G$99887,
  --(DataSpieler!$C$2:$C$99887=C11),
  --ISNUMBER(MATCH(DataSpieler!$A$2:$A$99887,_xlfn.ANCHORARRAY($A$2),0))
)</f>
        <v>0</v>
      </c>
      <c r="H11" s="9">
        <f t="shared" si="1"/>
        <v>0</v>
      </c>
      <c r="I11" s="9" cm="1">
        <f t="array" ref="I11">SUMPRODUCT(
  --(DataSpieler!$C$2:$C$99887=C11),
  --(DataSpieler!$H$2:$H$99887="x"),
  --ISNUMBER(MATCH(DataSpieler!$A$2:$A$99887,_xlfn.ANCHORARRAY($A$2),0))
)</f>
        <v>0</v>
      </c>
      <c r="J11" s="10" t="str" cm="1">
        <f t="array" ref="J11">IFERROR(
  AVERAGE(
    _xlfn._xlws.FILTER(
      DataSpieler!$E$2:$E$99887,
      (DataSpieler!$C$2:$C$99887=C11) *
      ISNUMBER(MATCH(DataSpieler!$A$2:$A$99887,_xlfn.ANCHORARRAY($A$2),0))
    )
  ),
  ""
)</f>
        <v/>
      </c>
    </row>
    <row r="12" spans="1:16" ht="17" customHeight="1" thickTop="1" thickBot="1" x14ac:dyDescent="0.25">
      <c r="A12" s="1"/>
      <c r="B12" s="1"/>
      <c r="C12" s="80" t="s">
        <v>12</v>
      </c>
      <c r="D12" s="81"/>
      <c r="E12" s="8" cm="1">
        <f t="array" ref="E12">SUMPRODUCT(
  --(DataSpieler!$C$2:$C$99887=$C12),
  --(DataSpieler!$E$2:$E$99887&gt;0),
  --ISNUMBER(MATCH(DataSpieler!$A$2:$A$99887,_xlfn.ANCHORARRAY($A$2),0))
)</f>
        <v>0</v>
      </c>
      <c r="F12" s="9" cm="1">
        <f t="array" ref="F12">SUMPRODUCT(
  DataSpieler!$F$2:$F$99887,
  --(DataSpieler!$C$2:$C$99887=C12),
  --ISNUMBER(MATCH(DataSpieler!$A$2:$A$99887,_xlfn.ANCHORARRAY($A$2),0))
)</f>
        <v>0</v>
      </c>
      <c r="G12" s="9" cm="1">
        <f t="array" ref="G12">SUMPRODUCT(
  DataSpieler!$G$2:$G$99887,
  --(DataSpieler!$C$2:$C$99887=C12),
  --ISNUMBER(MATCH(DataSpieler!$A$2:$A$99887,_xlfn.ANCHORARRAY($A$2),0))
)</f>
        <v>0</v>
      </c>
      <c r="H12" s="9">
        <f t="shared" si="1"/>
        <v>0</v>
      </c>
      <c r="I12" s="9" cm="1">
        <f t="array" ref="I12">SUMPRODUCT(
  --(DataSpieler!$C$2:$C$99887=C12),
  --(DataSpieler!$H$2:$H$99887="x"),
  --ISNUMBER(MATCH(DataSpieler!$A$2:$A$99887,_xlfn.ANCHORARRAY($A$2),0))
)</f>
        <v>0</v>
      </c>
      <c r="J12" s="10" t="str" cm="1">
        <f t="array" ref="J12">IFERROR(
  AVERAGE(
    _xlfn._xlws.FILTER(
      DataSpieler!$E$2:$E$99887,
      (DataSpieler!$C$2:$C$99887=C12) *
      ISNUMBER(MATCH(DataSpieler!$A$2:$A$99887,_xlfn.ANCHORARRAY($A$2),0))
    )
  ),
  ""
)</f>
        <v/>
      </c>
      <c r="L12" s="14" t="s">
        <v>32</v>
      </c>
      <c r="M12" s="15" t="s">
        <v>63</v>
      </c>
      <c r="N12" s="14" t="s">
        <v>41</v>
      </c>
      <c r="O12" s="15" t="s">
        <v>33</v>
      </c>
      <c r="P12" s="15" t="s">
        <v>111</v>
      </c>
    </row>
    <row r="13" spans="1:16" ht="17" customHeight="1" thickTop="1" thickBot="1" x14ac:dyDescent="0.25">
      <c r="A13" s="1"/>
      <c r="B13" s="1"/>
      <c r="C13" s="80" t="s">
        <v>109</v>
      </c>
      <c r="D13" s="81"/>
      <c r="E13" s="8" cm="1">
        <f t="array" ref="E13">SUMPRODUCT(
  --(DataSpieler!$C$2:$C$99887=$C13),
  --(DataSpieler!$E$2:$E$99887&gt;0),
  --ISNUMBER(MATCH(DataSpieler!$A$2:$A$99887,_xlfn.ANCHORARRAY($A$2),0))
)</f>
        <v>0</v>
      </c>
      <c r="F13" s="9" cm="1">
        <f t="array" ref="F13">SUMPRODUCT(
  DataSpieler!$F$2:$F$99887,
  --(DataSpieler!$C$2:$C$99887=C13),
  --ISNUMBER(MATCH(DataSpieler!$A$2:$A$99887,_xlfn.ANCHORARRAY($A$2),0))
)</f>
        <v>0</v>
      </c>
      <c r="G13" s="9" cm="1">
        <f t="array" ref="G13">SUMPRODUCT(
  DataSpieler!$G$2:$G$99887,
  --(DataSpieler!$C$2:$C$99887=C13),
  --ISNUMBER(MATCH(DataSpieler!$A$2:$A$99887,_xlfn.ANCHORARRAY($A$2),0))
)</f>
        <v>0</v>
      </c>
      <c r="H13" s="9">
        <f t="shared" si="1"/>
        <v>0</v>
      </c>
      <c r="I13" s="9" cm="1">
        <f t="array" ref="I13">SUMPRODUCT(
  --(DataSpieler!$C$2:$C$99887=C13),
  --(DataSpieler!$H$2:$H$99887="x"),
  --ISNUMBER(MATCH(DataSpieler!$A$2:$A$99887,_xlfn.ANCHORARRAY($A$2),0))
)</f>
        <v>0</v>
      </c>
      <c r="J13" s="10" t="str" cm="1">
        <f t="array" ref="J13">IFERROR(
  AVERAGE(
    _xlfn._xlws.FILTER(
      DataSpieler!$E$2:$E$99887,
      (DataSpieler!$C$2:$C$99887=C13) *
      ISNUMBER(MATCH(DataSpieler!$A$2:$A$99887,_xlfn.ANCHORARRAY($A$2),0))
    )
  ),
  ""
)</f>
        <v/>
      </c>
      <c r="L13" s="22">
        <v>1</v>
      </c>
      <c r="M13" s="20" t="str" cm="1">
        <f t="array" ref="M13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3" s="20" t="str">
        <f>IFERROR(_xlfn.XLOOKUP($M$13,DataSpiele!$A:$A,DataSpiele!$H:$H,""),"")</f>
        <v/>
      </c>
      <c r="O13" s="21" t="str">
        <f>IF(OR(N13="Sieg",N13="Niederlage"),1,"")</f>
        <v/>
      </c>
      <c r="P13" s="21" t="str">
        <f>IFERROR(
_xlfn.LET(
  _xlpm.id, $M$13,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4" spans="1:16" ht="17" customHeight="1" thickBot="1" x14ac:dyDescent="0.25">
      <c r="A14" s="1"/>
      <c r="B14" s="1"/>
      <c r="C14" s="80" t="s">
        <v>13</v>
      </c>
      <c r="D14" s="81"/>
      <c r="E14" s="8" cm="1">
        <f t="array" ref="E14">SUMPRODUCT(
  --(DataSpieler!$C$2:$C$99887=$C14),
  --(DataSpieler!$E$2:$E$99887&gt;0),
  --ISNUMBER(MATCH(DataSpieler!$A$2:$A$99887,_xlfn.ANCHORARRAY($A$2),0))
)</f>
        <v>0</v>
      </c>
      <c r="F14" s="9" cm="1">
        <f t="array" ref="F14">SUMPRODUCT(
  DataSpieler!$F$2:$F$99887,
  --(DataSpieler!$C$2:$C$99887=C14),
  --ISNUMBER(MATCH(DataSpieler!$A$2:$A$99887,_xlfn.ANCHORARRAY($A$2),0))
)</f>
        <v>0</v>
      </c>
      <c r="G14" s="9" cm="1">
        <f t="array" ref="G14">SUMPRODUCT(
  DataSpieler!$G$2:$G$99887,
  --(DataSpieler!$C$2:$C$99887=C14),
  --ISNUMBER(MATCH(DataSpieler!$A$2:$A$99887,_xlfn.ANCHORARRAY($A$2),0))
)</f>
        <v>0</v>
      </c>
      <c r="H14" s="9">
        <f t="shared" si="1"/>
        <v>0</v>
      </c>
      <c r="I14" s="9" cm="1">
        <f t="array" ref="I14">SUMPRODUCT(
  --(DataSpieler!$C$2:$C$99887=C14),
  --(DataSpieler!$H$2:$H$99887="x"),
  --ISNUMBER(MATCH(DataSpieler!$A$2:$A$99887,_xlfn.ANCHORARRAY($A$2),0))
)</f>
        <v>0</v>
      </c>
      <c r="J14" s="10" t="str" cm="1">
        <f t="array" ref="J14">IFERROR(
  AVERAGE(
    _xlfn._xlws.FILTER(
      DataSpieler!$E$2:$E$99887,
      (DataSpieler!$C$2:$C$99887=C14) *
      ISNUMBER(MATCH(DataSpieler!$A$2:$A$99887,_xlfn.ANCHORARRAY($A$2),0))
    )
  ),
  ""
)</f>
        <v/>
      </c>
      <c r="L14" s="23">
        <v>2</v>
      </c>
      <c r="M14" s="20" t="str" cm="1">
        <f t="array" ref="M14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4" s="20" t="str">
        <f>IFERROR(_xlfn.XLOOKUP($M$14,DataSpiele!$A:$A,DataSpiele!$H:$H,""),"")</f>
        <v/>
      </c>
      <c r="O14" s="21" t="str">
        <f>IF(OR(N14="Sieg",N14="Niederlage"),IF(N14=N13,O13+1,1),"")</f>
        <v/>
      </c>
      <c r="P14" s="21" t="str">
        <f>IFERROR(
_xlfn.LET(
  _xlpm.id, $M$14,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5" spans="1:16" ht="17" customHeight="1" thickBot="1" x14ac:dyDescent="0.25">
      <c r="A15" s="1"/>
      <c r="B15" s="1"/>
      <c r="C15" s="85" t="s">
        <v>14</v>
      </c>
      <c r="D15" s="81"/>
      <c r="E15" s="2" t="s">
        <v>2</v>
      </c>
      <c r="F15" s="3" t="s">
        <v>3</v>
      </c>
      <c r="G15" s="4" t="s">
        <v>4</v>
      </c>
      <c r="H15" s="5" t="s">
        <v>5</v>
      </c>
      <c r="I15" s="6" t="s">
        <v>6</v>
      </c>
      <c r="J15" s="7" t="s">
        <v>7</v>
      </c>
      <c r="L15" s="23">
        <v>3</v>
      </c>
      <c r="M15" s="20" t="str" cm="1">
        <f t="array" ref="M15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5" s="20" t="str">
        <f>IFERROR(_xlfn.XLOOKUP($M$15,DataSpiele!$A:$A,DataSpiele!$H:$H,""),"")</f>
        <v/>
      </c>
      <c r="O15" s="21" t="str">
        <f t="shared" ref="O15:O27" si="2">IF(OR(N15="Sieg",N15="Niederlage"),IF(N15=N14,O14+1,1),"")</f>
        <v/>
      </c>
      <c r="P15" s="21" t="str">
        <f>IFERROR(
_xlfn.LET(
  _xlpm.id, $M$15,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6" spans="1:16" ht="17" customHeight="1" thickBot="1" x14ac:dyDescent="0.25">
      <c r="A16" s="1"/>
      <c r="B16" s="1"/>
      <c r="C16" s="80" t="s">
        <v>9</v>
      </c>
      <c r="D16" s="81"/>
      <c r="E16" s="8" cm="1">
        <f t="array" ref="E16">SUMPRODUCT(
  --(DataSpieler!$C$2:$C$99887=$C16),
  --(DataSpieler!$E$2:$E$99887&gt;0),
  --ISNUMBER(MATCH(DataSpieler!$A$2:$A$99887,_xlfn.ANCHORARRAY($A$2),0))
)</f>
        <v>0</v>
      </c>
      <c r="F16" s="9" cm="1">
        <f t="array" ref="F16">SUMPRODUCT(
  DataSpieler!$F$2:$F$99887,
  --(DataSpieler!$C$2:$C$99887=C16),
  --ISNUMBER(MATCH(DataSpieler!$A$2:$A$99887,_xlfn.ANCHORARRAY($A$2),0))
)</f>
        <v>0</v>
      </c>
      <c r="G16" s="9" cm="1">
        <f t="array" ref="G16">SUMPRODUCT(
  DataSpieler!$G$2:$G$99887,
  --(DataSpieler!$C$2:$C$99887=C16),
  --ISNUMBER(MATCH(DataSpieler!$A$2:$A$99887,_xlfn.ANCHORARRAY($A$2),0))
)</f>
        <v>0</v>
      </c>
      <c r="H16" s="9">
        <f t="shared" ref="H16:H26" si="3">F16+G16</f>
        <v>0</v>
      </c>
      <c r="I16" s="9" cm="1">
        <f t="array" ref="I16">SUMPRODUCT(
  --(DataSpieler!$C$2:$C$99887=C16),
  --(DataSpieler!$H$2:$H$99887="x"),
  --ISNUMBER(MATCH(DataSpieler!$A$2:$A$99887,_xlfn.ANCHORARRAY($A$2),0))
)</f>
        <v>0</v>
      </c>
      <c r="J16" s="10" t="str" cm="1">
        <f t="array" ref="J16">IFERROR(
  AVERAGE(
    _xlfn._xlws.FILTER(
      DataSpieler!$E$2:$E$99887,
      (DataSpieler!$C$2:$C$99887=C16) *
      ISNUMBER(MATCH(DataSpieler!$A$2:$A$99887,_xlfn.ANCHORARRAY($A$2),0))
    )
  ),
  ""
)</f>
        <v/>
      </c>
      <c r="L16" s="23">
        <v>4</v>
      </c>
      <c r="M16" s="20" t="str" cm="1">
        <f t="array" ref="M16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6" s="20" t="str">
        <f>IFERROR(_xlfn.XLOOKUP($M$16,DataSpiele!$A:$A,DataSpiele!$H:$H,""),"")</f>
        <v/>
      </c>
      <c r="O16" s="21" t="str">
        <f t="shared" si="2"/>
        <v/>
      </c>
      <c r="P16" s="21" t="str">
        <f>IFERROR(
_xlfn.LET(
  _xlpm.id, $M16,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7" spans="1:25" ht="17" customHeight="1" thickBot="1" x14ac:dyDescent="0.25">
      <c r="A17" s="1"/>
      <c r="B17" s="1"/>
      <c r="C17" s="80" t="s">
        <v>98</v>
      </c>
      <c r="D17" s="81"/>
      <c r="E17" s="8" cm="1">
        <f t="array" ref="E17">SUMPRODUCT(
  --(DataSpieler!$C$2:$C$99887=$C17),
  --(DataSpieler!$E$2:$E$99887&gt;0),
  --ISNUMBER(MATCH(DataSpieler!$A$2:$A$99887,_xlfn.ANCHORARRAY($A$2),0))
)</f>
        <v>0</v>
      </c>
      <c r="F17" s="9" cm="1">
        <f t="array" ref="F17">SUMPRODUCT(
  DataSpieler!$F$2:$F$99887,
  --(DataSpieler!$C$2:$C$99887=C17),
  --ISNUMBER(MATCH(DataSpieler!$A$2:$A$99887,_xlfn.ANCHORARRAY($A$2),0))
)</f>
        <v>0</v>
      </c>
      <c r="G17" s="9" cm="1">
        <f t="array" ref="G17">SUMPRODUCT(
  DataSpieler!$G$2:$G$99887,
  --(DataSpieler!$C$2:$C$99887=C17),
  --ISNUMBER(MATCH(DataSpieler!$A$2:$A$99887,_xlfn.ANCHORARRAY($A$2),0))
)</f>
        <v>0</v>
      </c>
      <c r="H17" s="9">
        <f t="shared" si="3"/>
        <v>0</v>
      </c>
      <c r="I17" s="9" cm="1">
        <f t="array" ref="I17">SUMPRODUCT(
  --(DataSpieler!$C$2:$C$99887=C17),
  --(DataSpieler!$H$2:$H$99887="x"),
  --ISNUMBER(MATCH(DataSpieler!$A$2:$A$99887,_xlfn.ANCHORARRAY($A$2),0))
)</f>
        <v>0</v>
      </c>
      <c r="J17" s="10" t="str" cm="1">
        <f t="array" ref="J17">IFERROR(
  AVERAGE(
    _xlfn._xlws.FILTER(
      DataSpieler!$E$2:$E$99887,
      (DataSpieler!$C$2:$C$99887=C17) *
      ISNUMBER(MATCH(DataSpieler!$A$2:$A$99887,_xlfn.ANCHORARRAY($A$2),0))
    )
  ),
  ""
)</f>
        <v/>
      </c>
      <c r="L17" s="23">
        <v>5</v>
      </c>
      <c r="M17" s="20" t="str" cm="1">
        <f t="array" ref="M17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7" s="20" t="str">
        <f>IFERROR(_xlfn.XLOOKUP($M$17,DataSpiele!$A:$A,DataSpiele!$H:$H,""),"")</f>
        <v/>
      </c>
      <c r="O17" s="21" t="str">
        <f t="shared" si="2"/>
        <v/>
      </c>
      <c r="P17" s="21" t="str">
        <f>IFERROR(
_xlfn.LET(
  _xlpm.id, $M17,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8" spans="1:25" ht="17" customHeight="1" thickBot="1" x14ac:dyDescent="0.25">
      <c r="A18" s="1"/>
      <c r="B18" s="1"/>
      <c r="C18" s="80" t="s">
        <v>97</v>
      </c>
      <c r="D18" s="81"/>
      <c r="E18" s="8" cm="1">
        <f t="array" ref="E18">SUMPRODUCT(
  --(DataSpieler!$C$2:$C$99887=$C18),
  --(DataSpieler!$E$2:$E$99887&gt;0),
  --ISNUMBER(MATCH(DataSpieler!$A$2:$A$99887,_xlfn.ANCHORARRAY($A$2),0))
)</f>
        <v>0</v>
      </c>
      <c r="F18" s="9" cm="1">
        <f t="array" ref="F18">SUMPRODUCT(
  DataSpieler!$F$2:$F$99887,
  --(DataSpieler!$C$2:$C$99887=C18),
  --ISNUMBER(MATCH(DataSpieler!$A$2:$A$99887,_xlfn.ANCHORARRAY($A$2),0))
)</f>
        <v>0</v>
      </c>
      <c r="G18" s="9" cm="1">
        <f t="array" ref="G18">SUMPRODUCT(
  DataSpieler!$G$2:$G$99887,
  --(DataSpieler!$C$2:$C$99887=C18),
  --ISNUMBER(MATCH(DataSpieler!$A$2:$A$99887,_xlfn.ANCHORARRAY($A$2),0))
)</f>
        <v>0</v>
      </c>
      <c r="H18" s="9">
        <f t="shared" si="3"/>
        <v>0</v>
      </c>
      <c r="I18" s="9" cm="1">
        <f t="array" ref="I18">SUMPRODUCT(
  --(DataSpieler!$C$2:$C$99887=C18),
  --(DataSpieler!$H$2:$H$99887="x"),
  --ISNUMBER(MATCH(DataSpieler!$A$2:$A$99887,_xlfn.ANCHORARRAY($A$2),0))
)</f>
        <v>0</v>
      </c>
      <c r="J18" s="10" t="str" cm="1">
        <f t="array" ref="J18">IFERROR(
  AVERAGE(
    _xlfn._xlws.FILTER(
      DataSpieler!$E$2:$E$99887,
      (DataSpieler!$C$2:$C$99887=C18) *
      ISNUMBER(MATCH(DataSpieler!$A$2:$A$99887,_xlfn.ANCHORARRAY($A$2),0))
    )
  ),
  ""
)</f>
        <v/>
      </c>
      <c r="L18" s="23">
        <v>6</v>
      </c>
      <c r="M18" s="20" t="str" cm="1">
        <f t="array" ref="M18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8" s="20" t="str">
        <f>IFERROR(_xlfn.XLOOKUP($M$18,DataSpiele!$A:$A,DataSpiele!$H:$H,""),"")</f>
        <v/>
      </c>
      <c r="O18" s="21" t="str">
        <f>IF(OR(N18="Sieg",N18="Niederlage"),IF(N18=N17,O17+1,1),"")</f>
        <v/>
      </c>
      <c r="P18" s="21" t="str">
        <f>IFERROR(
_xlfn.LET(
  _xlpm.id, $M18,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19" spans="1:25" ht="17" customHeight="1" thickBot="1" x14ac:dyDescent="0.25">
      <c r="A19" s="1"/>
      <c r="B19" s="1"/>
      <c r="C19" s="80" t="s">
        <v>10</v>
      </c>
      <c r="D19" s="81"/>
      <c r="E19" s="8" cm="1">
        <f t="array" ref="E19">SUMPRODUCT(
  --(DataSpieler!$C$2:$C$99887=$C19),
  --(DataSpieler!$E$2:$E$99887&gt;0),
  --ISNUMBER(MATCH(DataSpieler!$A$2:$A$99887,_xlfn.ANCHORARRAY($A$2),0))
)</f>
        <v>0</v>
      </c>
      <c r="F19" s="9" cm="1">
        <f t="array" ref="F19">SUMPRODUCT(
  DataSpieler!$F$2:$F$99887,
  --(DataSpieler!$C$2:$C$99887=C19),
  --ISNUMBER(MATCH(DataSpieler!$A$2:$A$99887,_xlfn.ANCHORARRAY($A$2),0))
)</f>
        <v>0</v>
      </c>
      <c r="G19" s="9" cm="1">
        <f t="array" ref="G19">SUMPRODUCT(
  DataSpieler!$G$2:$G$99887,
  --(DataSpieler!$C$2:$C$99887=C19),
  --ISNUMBER(MATCH(DataSpieler!$A$2:$A$99887,_xlfn.ANCHORARRAY($A$2),0))
)</f>
        <v>0</v>
      </c>
      <c r="H19" s="9">
        <f t="shared" si="3"/>
        <v>0</v>
      </c>
      <c r="I19" s="9" cm="1">
        <f t="array" ref="I19">SUMPRODUCT(
  --(DataSpieler!$C$2:$C$99887=C19),
  --(DataSpieler!$H$2:$H$99887="x"),
  --ISNUMBER(MATCH(DataSpieler!$A$2:$A$99887,_xlfn.ANCHORARRAY($A$2),0))
)</f>
        <v>0</v>
      </c>
      <c r="J19" s="10" t="str" cm="1">
        <f t="array" ref="J19">IFERROR(
  AVERAGE(
    _xlfn._xlws.FILTER(
      DataSpieler!$E$2:$E$99887,
      (DataSpieler!$C$2:$C$99887=C19) *
      ISNUMBER(MATCH(DataSpieler!$A$2:$A$99887,_xlfn.ANCHORARRAY($A$2),0))
    )
  ),
  ""
)</f>
        <v/>
      </c>
      <c r="L19" s="23">
        <v>7</v>
      </c>
      <c r="M19" s="20" t="str" cm="1">
        <f t="array" ref="M19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19" s="20" t="str">
        <f>IFERROR(_xlfn.XLOOKUP($M$19,DataSpiele!$A:$A,DataSpiele!$H:$H,""),"")</f>
        <v/>
      </c>
      <c r="O19" s="21" t="str">
        <f t="shared" si="2"/>
        <v/>
      </c>
      <c r="P19" s="21" t="str">
        <f>IFERROR(
_xlfn.LET(
  _xlpm.id, $M19,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0" spans="1:25" ht="17" customHeight="1" thickBot="1" x14ac:dyDescent="0.25">
      <c r="A20" s="1"/>
      <c r="B20" s="1"/>
      <c r="C20" s="80" t="s">
        <v>92</v>
      </c>
      <c r="D20" s="81"/>
      <c r="E20" s="8" cm="1">
        <f t="array" ref="E20">SUMPRODUCT(
  --(DataSpieler!$C$2:$C$99887=$C20),
  --(DataSpieler!$E$2:$E$99887&gt;0),
  --ISNUMBER(MATCH(DataSpieler!$A$2:$A$99887,_xlfn.ANCHORARRAY($A$2),0))
)</f>
        <v>0</v>
      </c>
      <c r="F20" s="9" cm="1">
        <f t="array" ref="F20">SUMPRODUCT(
  DataSpieler!$F$2:$F$99887,
  --(DataSpieler!$C$2:$C$99887=C20),
  --ISNUMBER(MATCH(DataSpieler!$A$2:$A$99887,_xlfn.ANCHORARRAY($A$2),0))
)</f>
        <v>0</v>
      </c>
      <c r="G20" s="9" cm="1">
        <f t="array" ref="G20">SUMPRODUCT(
  DataSpieler!$G$2:$G$99887,
  --(DataSpieler!$C$2:$C$99887=C20),
  --ISNUMBER(MATCH(DataSpieler!$A$2:$A$99887,_xlfn.ANCHORARRAY($A$2),0))
)</f>
        <v>0</v>
      </c>
      <c r="H20" s="9">
        <f t="shared" si="3"/>
        <v>0</v>
      </c>
      <c r="I20" s="9" cm="1">
        <f t="array" ref="I20">SUMPRODUCT(
  --(DataSpieler!$C$2:$C$99887=C20),
  --(DataSpieler!$H$2:$H$99887="x"),
  --ISNUMBER(MATCH(DataSpieler!$A$2:$A$99887,_xlfn.ANCHORARRAY($A$2),0))
)</f>
        <v>0</v>
      </c>
      <c r="J20" s="10" t="str" cm="1">
        <f t="array" ref="J20">IFERROR(
  AVERAGE(
    _xlfn._xlws.FILTER(
      DataSpieler!$E$2:$E$99887,
      (DataSpieler!$C$2:$C$99887=C20) *
      ISNUMBER(MATCH(DataSpieler!$A$2:$A$99887,_xlfn.ANCHORARRAY($A$2),0))
    )
  ),
  ""
)</f>
        <v/>
      </c>
      <c r="L20" s="23">
        <v>8</v>
      </c>
      <c r="M20" s="20" t="str" cm="1">
        <f t="array" ref="M20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0" s="20" t="str">
        <f>IFERROR(_xlfn.XLOOKUP($M$20,DataSpiele!$A:$A,DataSpiele!$H:$H,""),"")</f>
        <v/>
      </c>
      <c r="O20" s="21" t="str">
        <f t="shared" si="2"/>
        <v/>
      </c>
      <c r="P20" s="21" t="str">
        <f>IFERROR(
_xlfn.LET(
  _xlpm.id, $M20,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1" spans="1:25" ht="17" customHeight="1" thickBot="1" x14ac:dyDescent="0.25">
      <c r="A21" s="1"/>
      <c r="B21" s="1"/>
      <c r="C21" s="80" t="s">
        <v>110</v>
      </c>
      <c r="D21" s="81"/>
      <c r="E21" s="8" cm="1">
        <f t="array" ref="E21">SUMPRODUCT(
  --(DataSpieler!$C$2:$C$99887=$C21),
  --(DataSpieler!$E$2:$E$99887&gt;0),
  --ISNUMBER(MATCH(DataSpieler!$A$2:$A$99887,_xlfn.ANCHORARRAY($A$2),0))
)</f>
        <v>0</v>
      </c>
      <c r="F21" s="9" cm="1">
        <f t="array" ref="F21">SUMPRODUCT(
  DataSpieler!$F$2:$F$99887,
  --(DataSpieler!$C$2:$C$99887=C21),
  --ISNUMBER(MATCH(DataSpieler!$A$2:$A$99887,_xlfn.ANCHORARRAY($A$2),0))
)</f>
        <v>0</v>
      </c>
      <c r="G21" s="9" cm="1">
        <f t="array" ref="G21">SUMPRODUCT(
  DataSpieler!$G$2:$G$99887,
  --(DataSpieler!$C$2:$C$99887=C21),
  --ISNUMBER(MATCH(DataSpieler!$A$2:$A$99887,_xlfn.ANCHORARRAY($A$2),0))
)</f>
        <v>0</v>
      </c>
      <c r="H21" s="9">
        <f t="shared" si="3"/>
        <v>0</v>
      </c>
      <c r="I21" s="9" cm="1">
        <f t="array" ref="I21">SUMPRODUCT(
  --(DataSpieler!$C$2:$C$99887=C21),
  --(DataSpieler!$H$2:$H$99887="x"),
  --ISNUMBER(MATCH(DataSpieler!$A$2:$A$99887,_xlfn.ANCHORARRAY($A$2),0))
)</f>
        <v>0</v>
      </c>
      <c r="J21" s="10" t="str" cm="1">
        <f t="array" ref="J21">IFERROR(
  AVERAGE(
    _xlfn._xlws.FILTER(
      DataSpieler!$E$2:$E$99887,
      (DataSpieler!$C$2:$C$99887=C21) *
      ISNUMBER(MATCH(DataSpieler!$A$2:$A$99887,_xlfn.ANCHORARRAY($A$2),0))
    )
  ),
  ""
)</f>
        <v/>
      </c>
      <c r="L21" s="23">
        <v>9</v>
      </c>
      <c r="M21" s="20" t="str" cm="1">
        <f t="array" ref="M21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1" s="20" t="str">
        <f>IFERROR(_xlfn.XLOOKUP($M$21,DataSpiele!$A:$A,DataSpiele!$H:$H,""),"")</f>
        <v/>
      </c>
      <c r="O21" s="21" t="str">
        <f t="shared" si="2"/>
        <v/>
      </c>
      <c r="P21" s="21" t="str">
        <f>IFERROR(
_xlfn.LET(
  _xlpm.id, $M21,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2" spans="1:25" ht="17" customHeight="1" thickBot="1" x14ac:dyDescent="0.25">
      <c r="A22" s="1"/>
      <c r="B22" s="1"/>
      <c r="C22" s="80" t="s">
        <v>8</v>
      </c>
      <c r="D22" s="81"/>
      <c r="E22" s="8" cm="1">
        <f t="array" ref="E22">SUMPRODUCT(
  --(DataSpieler!$C$2:$C$99887=$C22),
  --(DataSpieler!$E$2:$E$99887&gt;0),
  --ISNUMBER(MATCH(DataSpieler!$A$2:$A$99887,_xlfn.ANCHORARRAY($A$2),0))
)</f>
        <v>0</v>
      </c>
      <c r="F22" s="9" cm="1">
        <f t="array" ref="F22">SUMPRODUCT(
  DataSpieler!$F$2:$F$99887,
  --(DataSpieler!$C$2:$C$99887=C22),
  --ISNUMBER(MATCH(DataSpieler!$A$2:$A$99887,_xlfn.ANCHORARRAY($A$2),0))
)</f>
        <v>0</v>
      </c>
      <c r="G22" s="9" cm="1">
        <f t="array" ref="G22">SUMPRODUCT(
  DataSpieler!$G$2:$G$99887,
  --(DataSpieler!$C$2:$C$99887=C22),
  --ISNUMBER(MATCH(DataSpieler!$A$2:$A$99887,_xlfn.ANCHORARRAY($A$2),0))
)</f>
        <v>0</v>
      </c>
      <c r="H22" s="9">
        <f t="shared" si="3"/>
        <v>0</v>
      </c>
      <c r="I22" s="9" cm="1">
        <f t="array" ref="I22">SUMPRODUCT(
  --(DataSpieler!$C$2:$C$99887=C22),
  --(DataSpieler!$H$2:$H$99887="x"),
  --ISNUMBER(MATCH(DataSpieler!$A$2:$A$99887,_xlfn.ANCHORARRAY($A$2),0))
)</f>
        <v>0</v>
      </c>
      <c r="J22" s="10" t="str" cm="1">
        <f t="array" ref="J22">IFERROR(
  AVERAGE(
    _xlfn._xlws.FILTER(
      DataSpieler!$E$2:$E$99887,
      (DataSpieler!$C$2:$C$99887=C22) *
      ISNUMBER(MATCH(DataSpieler!$A$2:$A$99887,_xlfn.ANCHORARRAY($A$2),0))
    )
  ),
  ""
)</f>
        <v/>
      </c>
      <c r="L22" s="23">
        <v>10</v>
      </c>
      <c r="M22" s="20" t="str" cm="1">
        <f t="array" ref="M22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2" s="20" t="str">
        <f>IFERROR(_xlfn.XLOOKUP($M$22,DataSpiele!$A:$A,DataSpiele!$H:$H,""),"")</f>
        <v/>
      </c>
      <c r="O22" s="21" t="str">
        <f t="shared" si="2"/>
        <v/>
      </c>
      <c r="P22" s="21" t="str">
        <f>IFERROR(
_xlfn.LET(
  _xlpm.id, $M22,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3" spans="1:25" ht="17" customHeight="1" thickBot="1" x14ac:dyDescent="0.25">
      <c r="A23" s="1"/>
      <c r="B23" s="1"/>
      <c r="C23" s="85" t="s">
        <v>15</v>
      </c>
      <c r="D23" s="81"/>
      <c r="E23" s="2" t="s">
        <v>2</v>
      </c>
      <c r="F23" s="3" t="s">
        <v>3</v>
      </c>
      <c r="G23" s="4" t="s">
        <v>4</v>
      </c>
      <c r="H23" s="5" t="s">
        <v>5</v>
      </c>
      <c r="I23" s="6" t="s">
        <v>6</v>
      </c>
      <c r="J23" s="7" t="s">
        <v>7</v>
      </c>
      <c r="L23" s="23">
        <v>11</v>
      </c>
      <c r="M23" s="20" t="str" cm="1">
        <f t="array" ref="M23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3" s="20" t="str">
        <f>IFERROR(_xlfn.XLOOKUP($M$23,DataSpiele!$A:$A,DataSpiele!$H:$H,""),"")</f>
        <v/>
      </c>
      <c r="O23" s="21" t="str">
        <f t="shared" si="2"/>
        <v/>
      </c>
      <c r="P23" s="21" t="str">
        <f>IFERROR(
_xlfn.LET(
  _xlpm.id, $M23,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4" spans="1:25" ht="17" customHeight="1" thickBot="1" x14ac:dyDescent="0.25">
      <c r="A24" s="1"/>
      <c r="B24" s="1"/>
      <c r="C24" s="80" t="s">
        <v>64</v>
      </c>
      <c r="D24" s="81"/>
      <c r="E24" s="8" cm="1">
        <f t="array" ref="E24">SUMPRODUCT(
  --(DataSpieler!$C$2:$C$99887=$C24),
  --(DataSpieler!$E$2:$E$99887&gt;0),
  --ISNUMBER(MATCH(DataSpieler!$A$2:$A$99887,_xlfn.ANCHORARRAY($A$2),0))
)</f>
        <v>0</v>
      </c>
      <c r="F24" s="9" cm="1">
        <f t="array" ref="F24">SUMPRODUCT(
  DataSpieler!$F$2:$F$99887,
  --(DataSpieler!$C$2:$C$99887=C24),
  --ISNUMBER(MATCH(DataSpieler!$A$2:$A$99887,_xlfn.ANCHORARRAY($A$2),0))
)</f>
        <v>0</v>
      </c>
      <c r="G24" s="9" cm="1">
        <f t="array" ref="G24">SUMPRODUCT(
  DataSpieler!$G$2:$G$99887,
  --(DataSpieler!$C$2:$C$99887=C24),
  --ISNUMBER(MATCH(DataSpieler!$A$2:$A$99887,_xlfn.ANCHORARRAY($A$2),0))
)</f>
        <v>0</v>
      </c>
      <c r="H24" s="9">
        <f t="shared" si="3"/>
        <v>0</v>
      </c>
      <c r="I24" s="9" cm="1">
        <f t="array" ref="I24">SUMPRODUCT(
  --(DataSpieler!$C$2:$C$99887=C24),
  --(DataSpieler!$H$2:$H$99887="x"),
  --ISNUMBER(MATCH(DataSpieler!$A$2:$A$99887,_xlfn.ANCHORARRAY($A$2),0))
)</f>
        <v>0</v>
      </c>
      <c r="J24" s="10" t="str" cm="1">
        <f t="array" ref="J24">IFERROR(
  AVERAGE(
    _xlfn._xlws.FILTER(
      DataSpieler!$E$2:$E$99887,
      (DataSpieler!$C$2:$C$99887=C24) *
      ISNUMBER(MATCH(DataSpieler!$A$2:$A$99887,_xlfn.ANCHORARRAY($A$2),0))
    )
  ),
  ""
)</f>
        <v/>
      </c>
      <c r="L24" s="23">
        <v>12</v>
      </c>
      <c r="M24" s="20" t="str" cm="1">
        <f t="array" ref="M24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4" s="20" t="str">
        <f>IFERROR(_xlfn.XLOOKUP($M$24,DataSpiele!$A:$A,DataSpiele!$H:$H,""),"")</f>
        <v/>
      </c>
      <c r="O24" s="21" t="str">
        <f t="shared" si="2"/>
        <v/>
      </c>
      <c r="P24" s="21" t="str">
        <f>IFERROR(
_xlfn.LET(
  _xlpm.id, $M24,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5" spans="1:25" ht="17" customHeight="1" thickBot="1" x14ac:dyDescent="0.25">
      <c r="A25" s="1"/>
      <c r="B25" s="1"/>
      <c r="C25" s="80"/>
      <c r="D25" s="81"/>
      <c r="E25" s="8" cm="1">
        <f t="array" ref="E25">SUMPRODUCT(
  --(DataSpieler!$C$2:$C$99887=$C25),
  --(DataSpieler!$E$2:$E$99887&gt;0),
  --ISNUMBER(MATCH(DataSpieler!$A$2:$A$99887,_xlfn.ANCHORARRAY($A$2),0))
)</f>
        <v>0</v>
      </c>
      <c r="F25" s="9" cm="1">
        <f t="array" ref="F25">SUMPRODUCT(
  DataSpieler!$F$2:$F$99887,
  --(DataSpieler!$C$2:$C$99887=C25),
  --ISNUMBER(MATCH(DataSpieler!$A$2:$A$99887,_xlfn.ANCHORARRAY($A$2),0))
)</f>
        <v>0</v>
      </c>
      <c r="G25" s="9" cm="1">
        <f t="array" ref="G25">SUMPRODUCT(
  DataSpieler!$G$2:$G$99887,
  --(DataSpieler!$C$2:$C$99887=C25),
  --ISNUMBER(MATCH(DataSpieler!$A$2:$A$99887,_xlfn.ANCHORARRAY($A$2),0))
)</f>
        <v>0</v>
      </c>
      <c r="H25" s="9">
        <f t="shared" si="3"/>
        <v>0</v>
      </c>
      <c r="I25" s="9" cm="1">
        <f t="array" ref="I25">SUMPRODUCT(
  --(DataSpieler!$C$2:$C$99887=C25),
  --(DataSpieler!$H$2:$H$99887="x"),
  --ISNUMBER(MATCH(DataSpieler!$A$2:$A$99887,_xlfn.ANCHORARRAY($A$2),0))
)</f>
        <v>0</v>
      </c>
      <c r="J25" s="10" t="str" cm="1">
        <f t="array" ref="J25">IFERROR(
  AVERAGE(
    _xlfn._xlws.FILTER(
      DataSpieler!$E$2:$E$99887,
      (DataSpieler!$C$2:$C$99887=C25) *
      ISNUMBER(MATCH(DataSpieler!$A$2:$A$99887,_xlfn.ANCHORARRAY($A$2),0))
    )
  ),
  ""
)</f>
        <v/>
      </c>
      <c r="L25" s="23">
        <v>13</v>
      </c>
      <c r="M25" s="20" t="str" cm="1">
        <f t="array" ref="M25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5" s="20" t="str">
        <f>IFERROR(_xlfn.XLOOKUP($M$25,DataSpiele!$A:$A,DataSpiele!$H:$H,""),"")</f>
        <v/>
      </c>
      <c r="O25" s="21" t="str">
        <f t="shared" si="2"/>
        <v/>
      </c>
      <c r="P25" s="21" t="str">
        <f>IFERROR(
_xlfn.LET(
  _xlpm.id, $M25,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6" spans="1:25" ht="17" customHeight="1" thickBot="1" x14ac:dyDescent="0.25">
      <c r="A26" s="1"/>
      <c r="B26" s="1"/>
      <c r="C26" s="80"/>
      <c r="D26" s="81"/>
      <c r="E26" s="8" cm="1">
        <f t="array" ref="E26">SUMPRODUCT(
  --(DataSpieler!$C$2:$C$99887=$C26),
  --(DataSpieler!$E$2:$E$99887&gt;0),
  --ISNUMBER(MATCH(DataSpieler!$A$2:$A$99887,_xlfn.ANCHORARRAY($A$2),0))
)</f>
        <v>0</v>
      </c>
      <c r="F26" s="9" cm="1">
        <f t="array" ref="F26">SUMPRODUCT(
  DataSpieler!$F$2:$F$99887,
  --(DataSpieler!$C$2:$C$99887=C26),
  --ISNUMBER(MATCH(DataSpieler!$A$2:$A$99887,_xlfn.ANCHORARRAY($A$2),0))
)</f>
        <v>0</v>
      </c>
      <c r="G26" s="9" cm="1">
        <f t="array" ref="G26">SUMPRODUCT(
  DataSpieler!$G$2:$G$99887,
  --(DataSpieler!$C$2:$C$99887=C26),
  --ISNUMBER(MATCH(DataSpieler!$A$2:$A$99887,_xlfn.ANCHORARRAY($A$2),0))
)</f>
        <v>0</v>
      </c>
      <c r="H26" s="9">
        <f t="shared" si="3"/>
        <v>0</v>
      </c>
      <c r="I26" s="9" cm="1">
        <f t="array" ref="I26">SUMPRODUCT(
  --(DataSpieler!$C$2:$C$99887=C26),
  --(DataSpieler!$H$2:$H$99887="x"),
  --ISNUMBER(MATCH(DataSpieler!$A$2:$A$99887,_xlfn.ANCHORARRAY($A$2),0))
)</f>
        <v>0</v>
      </c>
      <c r="J26" s="10" t="str" cm="1">
        <f t="array" ref="J26">IFERROR(
  AVERAGE(
    _xlfn._xlws.FILTER(
      DataSpieler!$E$2:$E$99887,
      (DataSpieler!$C$2:$C$99887=C26) *
      ISNUMBER(MATCH(DataSpieler!$A$2:$A$99887,_xlfn.ANCHORARRAY($A$2),0))
    )
  ),
  ""
)</f>
        <v/>
      </c>
      <c r="L26" s="23">
        <v>14</v>
      </c>
      <c r="M26" s="20" t="str" cm="1">
        <f t="array" ref="M26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6" s="20" t="str">
        <f>IFERROR(_xlfn.XLOOKUP($M$26,DataSpiele!$A:$A,DataSpiele!$H:$H,""),"")</f>
        <v/>
      </c>
      <c r="O26" s="21" t="str">
        <f t="shared" si="2"/>
        <v/>
      </c>
      <c r="P26" s="21" t="str">
        <f>IFERROR(
_xlfn.LET(
  _xlpm.id, $M26,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7" spans="1:25" ht="17" customHeight="1" thickBo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L27" s="24">
        <v>15</v>
      </c>
      <c r="M27" s="20" t="str" cm="1">
        <f t="array" ref="M27">IFERROR(
_xlfn.LET(
  _xlpm.IDs,_xlfn.ANCHORARRAY($A$2),
  _xlpm.CatsAll,_xlfn.XLOOKUP(_xlpm.IDs,DataSpiele!$A$2:$A$99942,DataSpiele!$A$2:$A$99942,""),
  _xlpm.n,MIN(15,ROWS(_xlpm.CatsAll)),
  _xlpm.Start,ROWS(_xlpm.CatsAll)-_xlpm.n+1,
  _xlpm.Cats,INDEX(_xlpm.CatsAll,_xlfn.SEQUENCE(_xlpm.n,1,_xlpm.Start,1)),
  _xlpm.i,ROW()-ROW($M$13)+1,
  IF(_xlpm.i&gt;_xlpm.n,"",INDEX(_xlpm.Cats,_xlpm.i))
),
""
)</f>
        <v/>
      </c>
      <c r="N27" s="20" t="str">
        <f>IFERROR(_xlfn.XLOOKUP($M$27,DataSpiele!$A:$A,DataSpiele!$H:$H,""),"")</f>
        <v/>
      </c>
      <c r="O27" s="25" t="str">
        <f t="shared" si="2"/>
        <v/>
      </c>
      <c r="P27" s="21" t="str">
        <f>IFERROR(
_xlfn.LET(
  _xlpm.id, $M27,
  _xlpm.seite, _xlfn.XLOOKUP(_xlpm.id, DataSpiele!$A:$A, DataSpiele!$I:$I),
  _xlpm.heim,  _xlfn.XLOOKUP(_xlpm.id, DataSpiele!$A:$A, DataSpiele!$D:$D),
  _xlpm.aus,   _xlfn.XLOOKUP(_xlpm.id, DataSpiele!$A:$A, DataSpiele!$E:$E),
  IF(_xlpm.seite="Heim", _xlpm.heim &amp; " : " &amp; _xlpm.aus, _xlpm.aus &amp; " : " &amp; _xlpm.heim)
),
""
)</f>
        <v/>
      </c>
    </row>
    <row r="28" spans="1:25" ht="18" customHeight="1" thickBot="1" x14ac:dyDescent="0.25">
      <c r="A28" s="1"/>
      <c r="B28" s="1"/>
    </row>
    <row r="29" spans="1:25" ht="18" customHeight="1" thickTop="1" thickBot="1" x14ac:dyDescent="0.25">
      <c r="A29" s="1"/>
      <c r="B29" s="1"/>
      <c r="C29" s="49" t="s">
        <v>27</v>
      </c>
      <c r="D29" s="62" t="str">
        <f>INDEX(C4:C22,MATCH(D31,F4:F22,0))</f>
        <v>A. Russo</v>
      </c>
      <c r="E29" s="62" t="str">
        <f>INDEX(C4:C22,MATCH(E31,F4:F22,0))</f>
        <v>A. Russo</v>
      </c>
      <c r="F29" s="62" t="str">
        <f>INDEX(C4:C22,MATCH(F31,F4:F22,0))</f>
        <v>A. Russo</v>
      </c>
      <c r="H29" s="77" t="s">
        <v>18</v>
      </c>
      <c r="I29" s="71" t="s">
        <v>25</v>
      </c>
      <c r="J29" s="71" t="s">
        <v>95</v>
      </c>
      <c r="L29" s="82" t="s">
        <v>16</v>
      </c>
      <c r="M29" s="83"/>
      <c r="N29" s="84"/>
    </row>
    <row r="30" spans="1:25" ht="17" customHeight="1" thickTop="1" thickBot="1" x14ac:dyDescent="0.25">
      <c r="A30" s="1"/>
      <c r="B30" s="1"/>
      <c r="C30" s="90"/>
      <c r="D30" s="59"/>
      <c r="E30" s="59"/>
      <c r="F30" s="59"/>
      <c r="H30" s="78"/>
      <c r="I30" s="72"/>
      <c r="J30" s="72"/>
      <c r="L30" s="11" t="s">
        <v>19</v>
      </c>
      <c r="M30" s="12" t="s">
        <v>20</v>
      </c>
      <c r="N30" s="19" t="s">
        <v>73</v>
      </c>
    </row>
    <row r="31" spans="1:25" ht="17" customHeight="1" thickTop="1" thickBot="1" x14ac:dyDescent="0.25">
      <c r="A31" s="1"/>
      <c r="B31" s="1"/>
      <c r="C31" s="90"/>
      <c r="D31" s="64">
        <f>LARGE(F1:F21, 1)</f>
        <v>0</v>
      </c>
      <c r="E31" s="64">
        <f>LARGE(F1:F21, 2)</f>
        <v>0</v>
      </c>
      <c r="F31" s="64">
        <f>LARGE(F1:F21, 3)</f>
        <v>0</v>
      </c>
      <c r="H31" s="73" t="str" cm="1">
        <f t="array" ref="H31">IFERROR(SUM(
  --(
    _xlfn.XLOOKUP(_xlfn.ANCHORARRAY(
      $A$2),
      DataSpiele!$A$2:$A$99942,
      DataSpiele!$Z$2:$Z$99942,
      ""
    )
    ="ja"
  )
),"0")</f>
        <v>0</v>
      </c>
      <c r="I31" s="60" t="str" cm="1">
        <f t="array" ref="I31">IFERROR(
  AVERAGE(
    _xlfn.XLOOKUP(_xlfn.ANCHORARRAY(
      $A$2),
      DataSpiele!$A$2:$A$99942,
      DataSpiele!$J$2:$J$99942,
      ""
    )
  ),
  " "
)</f>
        <v xml:space="preserve"> </v>
      </c>
      <c r="J31" s="60" cm="1">
        <f t="array" ref="J31">IFERROR(
  _xlfn.LET(
    _xlpm.IDs,_xlfn.ANCHORARRAY(Dashboard!$A$2),
    _xlpm.Ort,_xlfn.XLOOKUP(_xlpm.IDs,DataSpiele!$A$2:$A$99967,DataSpiele!$I$2:$I$99967,""),
    _xlpm.HeimAnz,SUMPRODUCT(--(LEFT(TRIM(_xlpm.Ort),4)="Heim")),
    _xlpm.HeimAnz/COUNTA(_xlpm.IDs)
  ),
  0
)</f>
        <v>0</v>
      </c>
      <c r="L31" s="65" t="str" cm="1">
        <f t="array" ref="L31">IFERROR(SUM(
  --(
    _xlfn.XLOOKUP(_xlfn.ANCHORARRAY(
      $A$2),
      DataSpiele!$A$2:$A$99942,
      DataSpiele!$H$2:$H$99942,
      ""
    )
    ="Sieg"
  )
),"0")</f>
        <v>0</v>
      </c>
      <c r="M31" s="66" t="str" cm="1">
        <f t="array" ref="M31">IFERROR(SUM(
  --(
    _xlfn.XLOOKUP(_xlfn.ANCHORARRAY(
      $A$2),
      DataSpiele!$A$2:$A$99942,
      DataSpiele!$H$2:$H$99942,
      ""
    )
    ="Niederlage"
  )
),"0")</f>
        <v>0</v>
      </c>
      <c r="N31" s="70" t="str" cm="1">
        <f t="array" ref="N31">IFERROR(SUM(
  --(
    _xlfn.XLOOKUP(_xlfn.ANCHORARRAY(
      $A$2),
      DataSpiele!$A$2:$A$99942,
      DataSpiele!$H$2:$H$99942,
      ""
    )
    ="Unentschieden"
  )
),"0")</f>
        <v>0</v>
      </c>
      <c r="Y31" s="1"/>
    </row>
    <row r="32" spans="1:25" ht="18" customHeight="1" thickTop="1" thickBot="1" x14ac:dyDescent="0.25">
      <c r="A32" s="1"/>
      <c r="B32" s="1"/>
      <c r="C32" s="59"/>
      <c r="D32" s="59"/>
      <c r="E32" s="59"/>
      <c r="F32" s="59"/>
      <c r="H32" s="74"/>
      <c r="I32" s="79"/>
      <c r="J32" s="61"/>
      <c r="L32" s="59"/>
      <c r="M32" s="59"/>
      <c r="N32" s="59"/>
    </row>
    <row r="33" spans="1:25" ht="17" customHeight="1" thickTop="1" thickBot="1" x14ac:dyDescent="0.25">
      <c r="A33" s="1"/>
      <c r="B33" s="1"/>
      <c r="C33" s="1"/>
      <c r="D33" s="91"/>
      <c r="E33" s="92"/>
      <c r="F33" s="1"/>
      <c r="L33" s="11" t="s">
        <v>23</v>
      </c>
      <c r="M33" s="12" t="s">
        <v>23</v>
      </c>
      <c r="N33" s="19" t="s">
        <v>93</v>
      </c>
    </row>
    <row r="34" spans="1:25" ht="17" customHeight="1" thickTop="1" thickBot="1" x14ac:dyDescent="0.25">
      <c r="A34" s="1"/>
      <c r="B34" s="1"/>
      <c r="C34" s="49" t="s">
        <v>29</v>
      </c>
      <c r="D34" s="62" t="str">
        <f>INDEX(C4:C22,MATCH(D36,G4:G22,0))</f>
        <v>A. Russo</v>
      </c>
      <c r="E34" s="62" t="str">
        <f>INDEX(C4:C22,MATCH(E36,G4:G22,0))</f>
        <v>A. Russo</v>
      </c>
      <c r="F34" s="62" t="str">
        <f>INDEX(C4:C22,MATCH(F36,G4:G22,0))</f>
        <v>A. Russo</v>
      </c>
      <c r="H34" s="53" t="s">
        <v>76</v>
      </c>
      <c r="I34" s="55" t="s">
        <v>77</v>
      </c>
      <c r="J34" s="51" t="s">
        <v>78</v>
      </c>
      <c r="L34" s="65" t="str" cm="1">
        <f t="array" ref="L34">IFERROR(SUM(
  --(
    _xlfn.XLOOKUP(_xlfn.ANCHORARRAY(
      $A$2),
      DataSpiele!$A$2:$A$99942,
      DataSpiele!$X$2:$X$99942,
      ""
    )
    ="Gegner hat aufgegeben (Sieg)"
  )
),"")</f>
        <v/>
      </c>
      <c r="M34" s="66" t="str" cm="1">
        <f t="array" ref="M34">IFERROR(SUM(
  --(
    _xlfn.XLOOKUP(_xlfn.ANCHORARRAY(
      $A$2),
      DataSpiele!$A$2:$A$99942,
      DataSpiele!$X$2:$X$99942,
      ""
    )
    ="Ich habe aufgegeben (Niederlage)"
  )
),"")</f>
        <v/>
      </c>
      <c r="N34" s="70" t="str" cm="1">
        <f t="array" ref="N34">IFERROR(SUM(
  --(
    (_xlfn.XLOOKUP(_xlfn.ANCHORARRAY($A$2),DataSpiele!$A$2:$A$99942,DataSpiele!$AB$2:$AB$99942,"")="ja")
    *
    (_xlfn.XLOOKUP(_xlfn.ANCHORARRAY($A$2),DataSpiele!$A$2:$A$99942,DataSpiele!$H$2:$H$99942,"")="Unentschieden")
  )
),"")</f>
        <v/>
      </c>
      <c r="O34" s="1"/>
    </row>
    <row r="35" spans="1:25" ht="18" customHeight="1" thickTop="1" thickBot="1" x14ac:dyDescent="0.25">
      <c r="A35" s="1"/>
      <c r="B35" s="1"/>
      <c r="C35" s="90"/>
      <c r="D35" s="59"/>
      <c r="E35" s="59"/>
      <c r="F35" s="59"/>
      <c r="H35" s="54"/>
      <c r="I35" s="56"/>
      <c r="J35" s="52"/>
      <c r="L35" s="59"/>
      <c r="M35" s="59"/>
      <c r="N35" s="59"/>
    </row>
    <row r="36" spans="1:25" ht="18" customHeight="1" thickTop="1" thickBot="1" x14ac:dyDescent="0.25">
      <c r="A36" s="1"/>
      <c r="B36" s="1"/>
      <c r="C36" s="90"/>
      <c r="D36" s="64">
        <f>LARGE($G$3:$G$22, 1)</f>
        <v>0</v>
      </c>
      <c r="E36" s="64">
        <f>LARGE($G$3:$G$22, 2)</f>
        <v>0</v>
      </c>
      <c r="F36" s="64">
        <f>LARGE($G$3:$G$22, 3)</f>
        <v>0</v>
      </c>
      <c r="H36" s="28" t="s">
        <v>74</v>
      </c>
      <c r="I36" s="30" t="str" cm="1">
        <f t="array" ref="I36">IFERROR(
  SUM(
    _xlfn.XLOOKUP(_xlfn.ANCHORARRAY(
      $A$2),
      DataSpiele!$A$2:$A$99942,
      DataSpiele!$O$2:$O$99942,
      0
    )
  ),
  " "
)</f>
        <v xml:space="preserve"> </v>
      </c>
      <c r="J36" s="32" t="str" cm="1">
        <f t="array" ref="J36">IFERROR(
  SUM(
    _xlfn.XLOOKUP(_xlfn.ANCHORARRAY(
      $A$2),
      DataSpiele!$A$2:$A$99942,
      DataSpiele!$P$2:$P$99942,
      0
    )
  ),
  " "
)</f>
        <v xml:space="preserve"> </v>
      </c>
      <c r="L36" s="11" t="s">
        <v>93</v>
      </c>
      <c r="M36" s="12" t="s">
        <v>93</v>
      </c>
      <c r="N36" s="1"/>
      <c r="Y36" s="1"/>
    </row>
    <row r="37" spans="1:25" ht="18" customHeight="1" thickTop="1" thickBot="1" x14ac:dyDescent="0.25">
      <c r="A37" s="1"/>
      <c r="B37" s="1"/>
      <c r="C37" s="59"/>
      <c r="D37" s="59"/>
      <c r="E37" s="59"/>
      <c r="F37" s="59"/>
      <c r="H37" s="29" t="s">
        <v>75</v>
      </c>
      <c r="I37" s="31" t="str" cm="1">
        <f t="array" ref="I37">IFERROR(
  AVERAGE(
    _xlfn.XLOOKUP(_xlfn.ANCHORARRAY(
      $A$2),
      DataSpiele!$A$2:$A$99942,
      DataSpiele!$O$2:$O$99942,
      ""
    )
  ),
  " "
)</f>
        <v xml:space="preserve"> </v>
      </c>
      <c r="J37" s="33" t="str" cm="1">
        <f t="array" ref="J37">IFERROR(
  AVERAGE(
    _xlfn.XLOOKUP(_xlfn.ANCHORARRAY(
      $A$2),
      DataSpiele!$A$2:$A$99942,
      DataSpiele!$P$2:$P$99942,
      ""
    )
  ),
  " "
)</f>
        <v xml:space="preserve"> </v>
      </c>
      <c r="L37" s="65" t="str" cm="1">
        <f t="array" ref="L37">IFERROR(SUM(
  --(
    (_xlfn.XLOOKUP(_xlfn.ANCHORARRAY($A$2),DataSpiele!$A$2:$A$99942,DataSpiele!$AA$2:$AA$99942,"")="ja")
    *
    (_xlfn.XLOOKUP(_xlfn.ANCHORARRAY($A$2),DataSpiele!$A$2:$A$99942,DataSpiele!$H$2:$H$99942,"")="Sieg")
  )
),"")</f>
        <v/>
      </c>
      <c r="M37" s="66" t="str" cm="1">
        <f t="array" ref="M37">IFERROR(SUM(
  --(
    (_xlfn.XLOOKUP(_xlfn.ANCHORARRAY($A$2),DataSpiele!$A$2:$A$99942,DataSpiele!$AA$2:$AA$99942,"")="ja")
    *
    (_xlfn.XLOOKUP(_xlfn.ANCHORARRAY($A$2),DataSpiele!$A$2:$A$99942,DataSpiele!$H$2:$H$99942,"")="Niederlage")
  )
),"")</f>
        <v/>
      </c>
      <c r="O37" s="49" t="s">
        <v>112</v>
      </c>
      <c r="P37" s="50"/>
    </row>
    <row r="38" spans="1:25" ht="18" customHeight="1" thickTop="1" thickBot="1" x14ac:dyDescent="0.25">
      <c r="A38" s="1"/>
      <c r="B38" s="1"/>
      <c r="C38" s="13"/>
      <c r="D38" s="13"/>
      <c r="E38" s="1"/>
      <c r="F38" s="1"/>
      <c r="H38" s="1"/>
      <c r="L38" s="59"/>
      <c r="M38" s="59"/>
      <c r="O38" s="67" t="s">
        <v>26</v>
      </c>
      <c r="P38" s="65">
        <f>_xlfn.MAXIFS(O13:O27,N13:N27,"Sieg")</f>
        <v>0</v>
      </c>
    </row>
    <row r="39" spans="1:25" ht="18" customHeight="1" thickTop="1" thickBot="1" x14ac:dyDescent="0.25">
      <c r="A39" s="1"/>
      <c r="B39" s="1"/>
      <c r="C39" s="67" t="s">
        <v>30</v>
      </c>
      <c r="D39" s="62" t="str">
        <f>IFERROR(INDEX(C4:C22,MATCH(D41,J4:J22,0)),"")</f>
        <v>A. Russo</v>
      </c>
      <c r="E39" s="62" t="str">
        <f>IFERROR(INDEX(C4:C22,MATCH(E41,J4:J22,0)),"")</f>
        <v>A. Russo</v>
      </c>
      <c r="F39" s="62" t="str">
        <f>IFERROR(INDEX(C4:C22,MATCH(F41,J4:J22,0)),"")</f>
        <v>A. Russo</v>
      </c>
      <c r="H39" s="53" t="s">
        <v>83</v>
      </c>
      <c r="I39" s="55" t="s">
        <v>77</v>
      </c>
      <c r="J39" s="51" t="s">
        <v>78</v>
      </c>
      <c r="L39" s="11" t="s">
        <v>91</v>
      </c>
      <c r="M39" s="12" t="s">
        <v>91</v>
      </c>
      <c r="O39" s="68"/>
      <c r="P39" s="59"/>
    </row>
    <row r="40" spans="1:25" ht="18" customHeight="1" thickTop="1" thickBot="1" x14ac:dyDescent="0.25">
      <c r="A40" s="1"/>
      <c r="B40" s="1"/>
      <c r="C40" s="90"/>
      <c r="D40" s="59"/>
      <c r="E40" s="59"/>
      <c r="F40" s="59"/>
      <c r="H40" s="54"/>
      <c r="I40" s="56"/>
      <c r="J40" s="52"/>
      <c r="L40" s="65" t="str" cm="1">
        <f t="array" ref="L40">IFERROR(SUM(
  --(
    (_xlfn.XLOOKUP(_xlfn.ANCHORARRAY($A$2),DataSpiele!$A$2:$A$99942,DataSpiele!$AB$2:$AB$99942,"")="ja")
    *
    (_xlfn.XLOOKUP(_xlfn.ANCHORARRAY($A$2),DataSpiele!$A$2:$A$99942,DataSpiele!$H$2:$H$99942,"")="Sieg")
  )
),"")</f>
        <v/>
      </c>
      <c r="M40" s="66" t="str" cm="1">
        <f t="array" ref="M40">IFERROR(SUM(
  --(
    (_xlfn.XLOOKUP(_xlfn.ANCHORARRAY($A$2),DataSpiele!$A$2:$A$99942,DataSpiele!$AB$2:$AB$99942,"")="ja")
    *
    (_xlfn.XLOOKUP(_xlfn.ANCHORARRAY($A$2),DataSpiele!$A$2:$A$99942,DataSpiele!$H$2:$H$99942,"")="Niederlage")
  )
),"")</f>
        <v/>
      </c>
      <c r="O40" s="67" t="s">
        <v>94</v>
      </c>
      <c r="P40" s="66">
        <f>_xlfn.MAXIFS(O13:O27,N13:N27,"Niederlage")</f>
        <v>0</v>
      </c>
      <c r="V40" s="1"/>
      <c r="W40" s="1"/>
    </row>
    <row r="41" spans="1:25" ht="18" customHeight="1" thickTop="1" thickBot="1" x14ac:dyDescent="0.25">
      <c r="A41" s="1"/>
      <c r="B41" s="1"/>
      <c r="C41" s="90"/>
      <c r="D41" s="63" t="str">
        <f>IFERROR(LARGE(J4:J22,1),"")</f>
        <v/>
      </c>
      <c r="E41" s="63" t="str">
        <f>IFERROR(LARGE(J4:J22,2),"")</f>
        <v/>
      </c>
      <c r="F41" s="63" t="str">
        <f>IFERROR(LARGE(J4:J22,3),"")</f>
        <v/>
      </c>
      <c r="H41" s="28" t="s">
        <v>80</v>
      </c>
      <c r="I41" s="34" t="str" cm="1">
        <f t="array" ref="I41">IFERROR(
  AVERAGE(
    _xlfn.XLOOKUP(_xlfn.ANCHORARRAY(
      $A$2),
      DataSpiele!$A$2:$A$99942,
      DataSpiele!$K$2:$K$99942,
      ""
    )
  ),
  " "
)</f>
        <v xml:space="preserve"> </v>
      </c>
      <c r="J41" s="35" t="str" cm="1">
        <f t="array" ref="J41">IFERROR(
  AVERAGE(
    _xlfn.XLOOKUP(_xlfn.ANCHORARRAY(
      $A$2),
      DataSpiele!$A$2:$A$99942,
      DataSpiele!$L$2:$L$99942,
      ""
    )
  ),
  " "
)</f>
        <v xml:space="preserve"> </v>
      </c>
      <c r="L41" s="59"/>
      <c r="M41" s="59"/>
      <c r="N41" s="1"/>
      <c r="O41" s="68"/>
      <c r="P41" s="59"/>
    </row>
    <row r="42" spans="1:25" ht="18" customHeight="1" thickTop="1" thickBot="1" x14ac:dyDescent="0.25">
      <c r="A42" s="1"/>
      <c r="B42" s="1"/>
      <c r="C42" s="59"/>
      <c r="D42" s="59"/>
      <c r="E42" s="59"/>
      <c r="F42" s="59"/>
      <c r="H42" s="29" t="s">
        <v>82</v>
      </c>
      <c r="I42" s="36" t="str" cm="1">
        <f t="array" ref="I42">IFERROR(
  AVERAGE(
    _xlfn.XLOOKUP(_xlfn.ANCHORARRAY(
      $A$2),
      DataSpiele!$A$2:$A$99942,
      DataSpiele!$M$2:$M$99942,
      ""
    )
  ),
  " "
)</f>
        <v xml:space="preserve"> </v>
      </c>
      <c r="J42" s="37" t="str" cm="1">
        <f t="array" ref="J42">IFERROR(
  AVERAGE(
    _xlfn.XLOOKUP(_xlfn.ANCHORARRAY(
      $A$2),
      DataSpiele!$A$2:$A$99942,
      DataSpiele!$N$2:$N$99942,
      ""
    )
  ),
  " "
)</f>
        <v xml:space="preserve"> </v>
      </c>
    </row>
    <row r="43" spans="1:25" ht="17" customHeight="1" thickTop="1" thickBot="1" x14ac:dyDescent="0.25">
      <c r="A43" s="1"/>
      <c r="B43" s="1"/>
      <c r="C43" s="1"/>
      <c r="D43" s="1"/>
      <c r="E43" s="1"/>
      <c r="L43" s="49" t="s">
        <v>17</v>
      </c>
      <c r="M43" s="50"/>
    </row>
    <row r="44" spans="1:25" ht="17" customHeight="1" thickTop="1" thickBot="1" x14ac:dyDescent="0.25">
      <c r="A44" s="1"/>
      <c r="B44" s="1"/>
      <c r="C44" s="53" t="s">
        <v>31</v>
      </c>
      <c r="D44" s="62" t="str">
        <f>IFERROR(INDEX(C4:C22,MATCH(E44,I4:I22,0)),"")</f>
        <v>A. Russo</v>
      </c>
      <c r="E44" s="62">
        <f>IFERROR(LARGE(I4:I22,1),"")</f>
        <v>0</v>
      </c>
      <c r="H44" s="49" t="s">
        <v>79</v>
      </c>
      <c r="I44" s="55" t="s">
        <v>77</v>
      </c>
      <c r="J44" s="51" t="s">
        <v>78</v>
      </c>
      <c r="L44" s="11" t="s">
        <v>21</v>
      </c>
      <c r="M44" s="12" t="s">
        <v>22</v>
      </c>
    </row>
    <row r="45" spans="1:25" ht="17" customHeight="1" thickTop="1" thickBot="1" x14ac:dyDescent="0.25">
      <c r="A45" s="1"/>
      <c r="B45" s="1"/>
      <c r="C45" s="54"/>
      <c r="D45" s="69"/>
      <c r="E45" s="59"/>
      <c r="H45" s="59"/>
      <c r="I45" s="56"/>
      <c r="J45" s="52"/>
      <c r="L45" s="65" t="str" cm="1">
        <f t="array" ref="L45">IFERROR(_xlfn.LET(
  _xlpm.Ort,_xlfn.XLOOKUP(_xlfn.ANCHORARRAY($A$2),DataSpiele!$A$2:$A$99942,DataSpiele!$I$2:$I$99942,""),
  _xlpm.Heim,_xlfn.XLOOKUP(_xlfn.ANCHORARRAY($A$2),DataSpiele!$A$2:$A$99942,DataSpiele!$D$2:$D$99942,0),
  _xlpm.Gast,_xlfn.XLOOKUP(_xlfn.ANCHORARRAY($A$2),DataSpiele!$A$2:$A$99942,DataSpiele!$E$2:$E$99942,0),
  SUM(--(_xlpm.Ort="Heim")*_xlpm.Heim)+SUM(--(_xlpm.Ort="Gast")*_xlpm.Gast)
),"")</f>
        <v/>
      </c>
      <c r="M45" s="66" t="str" cm="1">
        <f t="array" ref="M45">IFERROR(_xlfn.LET(
  _xlpm.Ort,_xlfn.XLOOKUP(_xlfn.ANCHORARRAY($A$2),DataSpiele!$A$2:$A$99942,DataSpiele!$I$2:$I$99942,""),
  _xlpm.D,_xlfn.XLOOKUP(_xlfn.ANCHORARRAY($A$2),DataSpiele!$A$2:$A$99942,DataSpiele!$D$2:$D$99942,0),
  _xlpm.E,_xlfn.XLOOKUP(_xlfn.ANCHORARRAY($A$2),DataSpiele!$A$2:$A$99942,DataSpiele!$E$2:$E$99942,0),
  SUM(--(_xlpm.Ort="Gast")*_xlpm.D)+SUM(--(_xlpm.Ort="Heim")*_xlpm.E)
),"")</f>
        <v/>
      </c>
    </row>
    <row r="46" spans="1:25" ht="17" customHeight="1" thickTop="1" thickBot="1" x14ac:dyDescent="0.25">
      <c r="A46" s="1"/>
      <c r="B46" s="1"/>
      <c r="C46" s="53" t="s">
        <v>28</v>
      </c>
      <c r="D46" s="62" t="str">
        <f>INDEX(C4:C22,MATCH(E46,H4:H22,0))</f>
        <v>A. Russo</v>
      </c>
      <c r="E46" s="62">
        <f>LARGE(H4:H22,1)</f>
        <v>0</v>
      </c>
      <c r="H46" s="28" t="s">
        <v>80</v>
      </c>
      <c r="I46" s="34" t="str" cm="1">
        <f t="array" ref="I46">IFERROR(
  AVERAGE(
    _xlfn.XLOOKUP(_xlfn.ANCHORARRAY(
      $A$2),
      DataSpiele!$A$2:$A$99942,
      DataSpiele!$Q$2:$Q$99942,
      ""
    )
  ),
  " "
)</f>
        <v xml:space="preserve"> </v>
      </c>
      <c r="J46" s="35" t="str" cm="1">
        <f t="array" ref="J46">IFERROR(
  AVERAGE(
    _xlfn.XLOOKUP(_xlfn.ANCHORARRAY(
      $A$2),
      DataSpiele!$A$2:$A$99942,
      DataSpiele!$R$2:$R$99942,
      ""
    )
  ),
  " "
)</f>
        <v xml:space="preserve"> </v>
      </c>
      <c r="L46" s="59"/>
      <c r="M46" s="59"/>
    </row>
    <row r="47" spans="1:25" ht="18" customHeight="1" thickTop="1" thickBot="1" x14ac:dyDescent="0.25">
      <c r="A47" s="1"/>
      <c r="B47" s="1"/>
      <c r="C47" s="54"/>
      <c r="D47" s="59"/>
      <c r="E47" s="59"/>
      <c r="H47" s="29" t="s">
        <v>81</v>
      </c>
      <c r="I47" s="36" t="str" cm="1">
        <f t="array" ref="I47">IFERROR(
  AVERAGE(
    _xlfn.XLOOKUP(_xlfn.ANCHORARRAY(
      $A$2),
      DataSpiele!$A$2:$A$99942,
      DataSpiele!$S$2:$S$99942,
      ""
    )
  ),
  " "
)</f>
        <v xml:space="preserve"> </v>
      </c>
      <c r="J47" s="37" t="str" cm="1">
        <f t="array" ref="J47">IFERROR(
  AVERAGE(
    _xlfn.XLOOKUP(_xlfn.ANCHORARRAY(
      $A$2),
      DataSpiele!$A$2:$A$99942,
      DataSpiele!$T$2:$T$99942,
      ""
    )
  ),
  " "
)</f>
        <v xml:space="preserve"> </v>
      </c>
      <c r="L47" s="11" t="s">
        <v>24</v>
      </c>
      <c r="M47" s="12" t="s">
        <v>24</v>
      </c>
    </row>
    <row r="48" spans="1:25" ht="17" customHeight="1" thickTop="1" thickBot="1" x14ac:dyDescent="0.25">
      <c r="A48" s="1"/>
      <c r="B48" s="1"/>
      <c r="L48" s="88" t="e">
        <f>L45/E4</f>
        <v>#VALUE!</v>
      </c>
      <c r="M48" s="89" t="e">
        <f>M45/E4</f>
        <v>#VALUE!</v>
      </c>
    </row>
    <row r="49" spans="1:13" ht="17" customHeight="1" thickTop="1" thickBot="1" x14ac:dyDescent="0.25">
      <c r="A49" s="1"/>
      <c r="B49" s="1"/>
      <c r="H49" s="53" t="s">
        <v>88</v>
      </c>
      <c r="I49" s="55" t="s">
        <v>85</v>
      </c>
      <c r="J49" s="57" t="s">
        <v>86</v>
      </c>
      <c r="L49" s="59"/>
      <c r="M49" s="59"/>
    </row>
    <row r="50" spans="1:13" ht="17" customHeight="1" thickTop="1" thickBot="1" x14ac:dyDescent="0.25">
      <c r="A50" s="1"/>
      <c r="B50" s="1"/>
      <c r="H50" s="54"/>
      <c r="I50" s="56"/>
      <c r="J50" s="58"/>
    </row>
    <row r="51" spans="1:13" ht="17" customHeight="1" thickTop="1" x14ac:dyDescent="0.2">
      <c r="A51" s="1"/>
      <c r="B51" s="1"/>
      <c r="H51" s="28" t="s">
        <v>74</v>
      </c>
      <c r="I51" s="34" t="str" cm="1">
        <f t="array" ref="I51">IFERROR(
  SUM(
    _xlfn.XLOOKUP(_xlfn.ANCHORARRAY(
      $A$2),
      DataSpiele!$A$2:$A$99942,
      DataSpiele!$V$2:$V$99942,
      0
    )
  ),
  " "
)</f>
        <v xml:space="preserve"> </v>
      </c>
      <c r="J51" s="40" t="str" cm="1">
        <f t="array" ref="J51">IFERROR(
  SUM(
    _xlfn.XLOOKUP(_xlfn.ANCHORARRAY(
      $A$2),
      DataSpiele!$A$2:$A$99942,
      DataSpiele!$W$2:$W$99942,
      0
    )
  ),
  " "
)</f>
        <v xml:space="preserve"> </v>
      </c>
    </row>
    <row r="52" spans="1:13" ht="18" customHeight="1" thickBot="1" x14ac:dyDescent="0.25">
      <c r="A52" s="1"/>
      <c r="B52" s="1"/>
      <c r="H52" s="29" t="s">
        <v>87</v>
      </c>
      <c r="I52" s="31" t="str" cm="1">
        <f t="array" ref="I52">IFERROR(
  AVERAGE(
    _xlfn.XLOOKUP(_xlfn.ANCHORARRAY(
      $A$2),
      DataSpiele!$A$2:$A$99942,
      DataSpiele!$V$2:$V$99942,
      ""
    )
  ),
  " "
)</f>
        <v xml:space="preserve"> </v>
      </c>
      <c r="J52" s="41" t="str" cm="1">
        <f t="array" ref="J52">IFERROR(
  AVERAGE(
    _xlfn.XLOOKUP(_xlfn.ANCHORARRAY(
      $A$2),
      DataSpiele!$A$2:$A$99942,
      DataSpiele!$W$2:$W$99942,
      ""
    )
  ),
  " "
)</f>
        <v xml:space="preserve"> </v>
      </c>
    </row>
    <row r="53" spans="1:13" ht="17" customHeight="1" thickTop="1" x14ac:dyDescent="0.2">
      <c r="A53" s="1"/>
      <c r="B53" s="1"/>
    </row>
    <row r="54" spans="1:13" ht="17" customHeight="1" x14ac:dyDescent="0.2">
      <c r="A54" s="1"/>
      <c r="B54" s="1"/>
    </row>
    <row r="55" spans="1:13" ht="17" customHeight="1" x14ac:dyDescent="0.2">
      <c r="A55" s="1"/>
      <c r="B55" s="1"/>
    </row>
    <row r="56" spans="1:13" ht="17" customHeight="1" x14ac:dyDescent="0.2">
      <c r="A56" s="1"/>
      <c r="B56" s="1"/>
    </row>
    <row r="57" spans="1:13" ht="17" customHeight="1" x14ac:dyDescent="0.2">
      <c r="A57" s="1"/>
      <c r="B57" s="1"/>
    </row>
    <row r="58" spans="1:13" ht="17" customHeight="1" x14ac:dyDescent="0.2">
      <c r="A58" s="1"/>
      <c r="B58" s="1"/>
      <c r="F58" s="1"/>
      <c r="G58" s="1"/>
    </row>
    <row r="59" spans="1:13" x14ac:dyDescent="0.2">
      <c r="A59" s="1"/>
      <c r="B59" s="1"/>
      <c r="F59" s="1"/>
      <c r="G59" s="1"/>
    </row>
    <row r="60" spans="1:13" ht="17" customHeight="1" x14ac:dyDescent="0.2">
      <c r="A60" s="1"/>
      <c r="B60" s="1"/>
      <c r="F60" s="1"/>
    </row>
    <row r="61" spans="1:13" ht="18" customHeight="1" x14ac:dyDescent="0.2">
      <c r="A61" s="1"/>
      <c r="B61" s="1"/>
    </row>
    <row r="62" spans="1:13" ht="17" customHeight="1" x14ac:dyDescent="0.2">
      <c r="A62" s="1"/>
    </row>
    <row r="63" spans="1:13" x14ac:dyDescent="0.2">
      <c r="A63" s="1"/>
    </row>
    <row r="64" spans="1:13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</sheetData>
  <mergeCells count="92">
    <mergeCell ref="C34:C37"/>
    <mergeCell ref="F36:F37"/>
    <mergeCell ref="C2:J2"/>
    <mergeCell ref="D31:D32"/>
    <mergeCell ref="C23:D23"/>
    <mergeCell ref="L48:L49"/>
    <mergeCell ref="C14:D14"/>
    <mergeCell ref="E31:E32"/>
    <mergeCell ref="C17:D17"/>
    <mergeCell ref="I29:I30"/>
    <mergeCell ref="C8:D8"/>
    <mergeCell ref="C13:D13"/>
    <mergeCell ref="C7:D7"/>
    <mergeCell ref="C3:D3"/>
    <mergeCell ref="C12:D12"/>
    <mergeCell ref="C11:D11"/>
    <mergeCell ref="F31:F32"/>
    <mergeCell ref="D29:D30"/>
    <mergeCell ref="C4:D4"/>
    <mergeCell ref="C6:D6"/>
    <mergeCell ref="C5:D5"/>
    <mergeCell ref="E29:E30"/>
    <mergeCell ref="C15:D15"/>
    <mergeCell ref="C19:D19"/>
    <mergeCell ref="C25:D25"/>
    <mergeCell ref="C29:C32"/>
    <mergeCell ref="L31:L32"/>
    <mergeCell ref="C18:D18"/>
    <mergeCell ref="L29:N29"/>
    <mergeCell ref="C21:D21"/>
    <mergeCell ref="C22:D22"/>
    <mergeCell ref="C20:D20"/>
    <mergeCell ref="C24:D24"/>
    <mergeCell ref="N31:N32"/>
    <mergeCell ref="M31:M32"/>
    <mergeCell ref="C26:D26"/>
    <mergeCell ref="F29:F30"/>
    <mergeCell ref="J29:J30"/>
    <mergeCell ref="H31:H32"/>
    <mergeCell ref="C9:D9"/>
    <mergeCell ref="H29:H30"/>
    <mergeCell ref="I31:I32"/>
    <mergeCell ref="C10:D10"/>
    <mergeCell ref="C16:D16"/>
    <mergeCell ref="C46:C47"/>
    <mergeCell ref="D46:D47"/>
    <mergeCell ref="C44:C45"/>
    <mergeCell ref="D44:D45"/>
    <mergeCell ref="L40:L41"/>
    <mergeCell ref="D39:D40"/>
    <mergeCell ref="C39:C42"/>
    <mergeCell ref="E39:E40"/>
    <mergeCell ref="O37:P37"/>
    <mergeCell ref="L45:L46"/>
    <mergeCell ref="P38:P39"/>
    <mergeCell ref="M34:M35"/>
    <mergeCell ref="O38:O39"/>
    <mergeCell ref="M40:M41"/>
    <mergeCell ref="N34:N35"/>
    <mergeCell ref="O40:O41"/>
    <mergeCell ref="P40:P41"/>
    <mergeCell ref="L34:L35"/>
    <mergeCell ref="L37:L38"/>
    <mergeCell ref="M37:M38"/>
    <mergeCell ref="M45:M46"/>
    <mergeCell ref="J31:J32"/>
    <mergeCell ref="E46:E47"/>
    <mergeCell ref="F39:F40"/>
    <mergeCell ref="D34:D35"/>
    <mergeCell ref="F34:F35"/>
    <mergeCell ref="F41:F42"/>
    <mergeCell ref="E41:E42"/>
    <mergeCell ref="E36:E37"/>
    <mergeCell ref="D41:D42"/>
    <mergeCell ref="E44:E45"/>
    <mergeCell ref="E34:E35"/>
    <mergeCell ref="D36:D37"/>
    <mergeCell ref="D33:E33"/>
    <mergeCell ref="H39:H40"/>
    <mergeCell ref="I39:I40"/>
    <mergeCell ref="J39:J40"/>
    <mergeCell ref="H34:H35"/>
    <mergeCell ref="I34:I35"/>
    <mergeCell ref="J34:J35"/>
    <mergeCell ref="L43:M43"/>
    <mergeCell ref="J44:J45"/>
    <mergeCell ref="H49:H50"/>
    <mergeCell ref="I49:I50"/>
    <mergeCell ref="J49:J50"/>
    <mergeCell ref="H44:H45"/>
    <mergeCell ref="I44:I45"/>
    <mergeCell ref="M48:M49"/>
  </mergeCells>
  <conditionalFormatting sqref="C29:D29">
    <cfRule type="containsText" dxfId="10" priority="3" operator="containsText" text="Gold">
      <formula>NOT(ISERROR(SEARCH(("Gold"),(C29))))</formula>
    </cfRule>
    <cfRule type="containsText" dxfId="9" priority="4" operator="containsText" text="Silver">
      <formula>NOT(ISERROR(SEARCH(("Silver"),(C29))))</formula>
    </cfRule>
    <cfRule type="containsText" dxfId="8" priority="5" operator="containsText" text="Bronze">
      <formula>NOT(ISERROR(SEARCH(("Bronze"),(C29))))</formula>
    </cfRule>
  </conditionalFormatting>
  <conditionalFormatting sqref="F4:F14 F16:F22 F24:F26">
    <cfRule type="expression" dxfId="7" priority="8">
      <formula>F4=MAX($F$4:$F$16)</formula>
    </cfRule>
  </conditionalFormatting>
  <conditionalFormatting sqref="G4:G14 G16:G22 G24:G26">
    <cfRule type="expression" dxfId="6" priority="9">
      <formula>G4=MAX($G$4:$G$14)</formula>
    </cfRule>
  </conditionalFormatting>
  <conditionalFormatting sqref="H4:H14 H16:H22 H24:H26">
    <cfRule type="expression" dxfId="5" priority="10">
      <formula>H4=MAX($H$4:$H$14)</formula>
    </cfRule>
  </conditionalFormatting>
  <conditionalFormatting sqref="I4:I14 I16:I22 I24:I26">
    <cfRule type="expression" dxfId="4" priority="11">
      <formula>I4=MAX($I$4:$I$14)</formula>
    </cfRule>
  </conditionalFormatting>
  <conditionalFormatting sqref="J4:J14 J16:J22 J24:J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3:N27">
    <cfRule type="cellIs" dxfId="3" priority="1" operator="equal">
      <formula>"Unentschieden"</formula>
    </cfRule>
    <cfRule type="cellIs" dxfId="2" priority="2" operator="equal">
      <formula>"Niederlage"</formula>
    </cfRule>
  </conditionalFormatting>
  <dataValidations count="2">
    <dataValidation type="list" allowBlank="1" showInputMessage="1" showErrorMessage="1" sqref="M2" xr:uid="{00000000-0002-0000-0000-000000000000}">
      <formula1>"Alle,SquadBattles,Rivals,Champions,Live Event"</formula1>
    </dataValidation>
    <dataValidation type="list" allowBlank="1" showInputMessage="1" sqref="M3" xr:uid="{F8EBE64D-AB56-934C-963B-D2C3C2FF886E}">
      <formula1>"alle,5,10,15,18,30"</formula1>
    </dataValidation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49"/>
  <sheetViews>
    <sheetView workbookViewId="0">
      <pane ySplit="1" topLeftCell="A2" activePane="bottomLeft" state="frozen"/>
      <selection pane="bottomLeft" activeCell="H9" sqref="H9"/>
    </sheetView>
  </sheetViews>
  <sheetFormatPr baseColWidth="10" defaultRowHeight="16" x14ac:dyDescent="0.2"/>
  <cols>
    <col min="2" max="2" width="15.1640625" bestFit="1" customWidth="1"/>
    <col min="3" max="3" width="13" bestFit="1" customWidth="1"/>
    <col min="4" max="4" width="15.1640625" bestFit="1" customWidth="1"/>
    <col min="7" max="7" width="15" bestFit="1" customWidth="1"/>
    <col min="8" max="8" width="15" customWidth="1"/>
    <col min="13" max="13" width="14.1640625" bestFit="1" customWidth="1"/>
    <col min="14" max="14" width="14.1640625" customWidth="1"/>
    <col min="21" max="21" width="19.5" bestFit="1" customWidth="1"/>
    <col min="24" max="24" width="24.83203125" bestFit="1" customWidth="1"/>
  </cols>
  <sheetData>
    <row r="1" spans="1:29" x14ac:dyDescent="0.2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s="42" t="s">
        <v>43</v>
      </c>
      <c r="K1" s="42" t="s">
        <v>44</v>
      </c>
      <c r="L1" s="43" t="s">
        <v>71</v>
      </c>
      <c r="M1" s="42" t="s">
        <v>45</v>
      </c>
      <c r="N1" s="43" t="s">
        <v>72</v>
      </c>
      <c r="O1" s="42" t="s">
        <v>46</v>
      </c>
      <c r="P1" s="43" t="s">
        <v>68</v>
      </c>
      <c r="Q1" s="42" t="s">
        <v>47</v>
      </c>
      <c r="R1" s="43" t="s">
        <v>69</v>
      </c>
      <c r="S1" s="42" t="s">
        <v>48</v>
      </c>
      <c r="T1" s="43" t="s">
        <v>70</v>
      </c>
      <c r="U1" s="42" t="s">
        <v>49</v>
      </c>
      <c r="V1" s="42" t="s">
        <v>50</v>
      </c>
      <c r="W1" s="42" t="s">
        <v>51</v>
      </c>
      <c r="X1" t="s">
        <v>52</v>
      </c>
      <c r="Y1" t="s">
        <v>53</v>
      </c>
      <c r="Z1" t="s">
        <v>54</v>
      </c>
      <c r="AA1" t="s">
        <v>67</v>
      </c>
      <c r="AB1" t="s">
        <v>89</v>
      </c>
      <c r="AC1" t="s">
        <v>90</v>
      </c>
    </row>
    <row r="2" spans="1:29" x14ac:dyDescent="0.2">
      <c r="C2" s="17"/>
    </row>
    <row r="3" spans="1:29" x14ac:dyDescent="0.2">
      <c r="C3" s="17"/>
    </row>
    <row r="4" spans="1:29" x14ac:dyDescent="0.2">
      <c r="C4" s="17"/>
      <c r="Y4" s="18"/>
    </row>
    <row r="5" spans="1:29" x14ac:dyDescent="0.2">
      <c r="C5" s="17"/>
    </row>
    <row r="6" spans="1:29" x14ac:dyDescent="0.2">
      <c r="C6" s="17"/>
      <c r="Y6" s="18"/>
    </row>
    <row r="7" spans="1:29" x14ac:dyDescent="0.2">
      <c r="C7" s="17"/>
      <c r="Y7" s="18"/>
    </row>
    <row r="8" spans="1:29" x14ac:dyDescent="0.2">
      <c r="C8" s="17"/>
    </row>
    <row r="9" spans="1:29" x14ac:dyDescent="0.2">
      <c r="C9" s="17"/>
    </row>
    <row r="10" spans="1:29" x14ac:dyDescent="0.2">
      <c r="C10" s="17"/>
    </row>
    <row r="11" spans="1:29" x14ac:dyDescent="0.2">
      <c r="C11" s="17"/>
    </row>
    <row r="12" spans="1:29" x14ac:dyDescent="0.2">
      <c r="C12" s="17"/>
      <c r="Y12" s="18"/>
    </row>
    <row r="13" spans="1:29" x14ac:dyDescent="0.2">
      <c r="C13" s="17"/>
      <c r="Y13" s="18"/>
    </row>
    <row r="14" spans="1:29" x14ac:dyDescent="0.2">
      <c r="C14" s="17"/>
    </row>
    <row r="15" spans="1:29" x14ac:dyDescent="0.2">
      <c r="C15" s="17"/>
    </row>
    <row r="16" spans="1:29" x14ac:dyDescent="0.2">
      <c r="C16" s="17"/>
    </row>
    <row r="17" spans="3:25" x14ac:dyDescent="0.2">
      <c r="C17" s="17"/>
    </row>
    <row r="18" spans="3:25" x14ac:dyDescent="0.2">
      <c r="C18" s="17"/>
    </row>
    <row r="19" spans="3:25" x14ac:dyDescent="0.2">
      <c r="C19" s="17"/>
      <c r="Y19" s="18"/>
    </row>
    <row r="20" spans="3:25" x14ac:dyDescent="0.2">
      <c r="C20" s="17"/>
      <c r="Y20" s="18"/>
    </row>
    <row r="21" spans="3:25" x14ac:dyDescent="0.2">
      <c r="C21" s="17"/>
      <c r="Y21" s="18"/>
    </row>
    <row r="22" spans="3:25" x14ac:dyDescent="0.2">
      <c r="C22" s="17"/>
    </row>
    <row r="23" spans="3:25" x14ac:dyDescent="0.2">
      <c r="C23" s="17"/>
    </row>
    <row r="24" spans="3:25" x14ac:dyDescent="0.2">
      <c r="C24" s="17"/>
    </row>
    <row r="25" spans="3:25" x14ac:dyDescent="0.2">
      <c r="C25" s="17"/>
    </row>
    <row r="26" spans="3:25" x14ac:dyDescent="0.2">
      <c r="C26" s="17"/>
    </row>
    <row r="27" spans="3:25" x14ac:dyDescent="0.2">
      <c r="C27" s="17"/>
    </row>
    <row r="28" spans="3:25" x14ac:dyDescent="0.2">
      <c r="C28" s="17"/>
    </row>
    <row r="29" spans="3:25" x14ac:dyDescent="0.2">
      <c r="C29" s="17"/>
    </row>
    <row r="30" spans="3:25" x14ac:dyDescent="0.2">
      <c r="C30" s="17"/>
    </row>
    <row r="31" spans="3:25" x14ac:dyDescent="0.2">
      <c r="C31" s="17"/>
    </row>
    <row r="32" spans="3:25" x14ac:dyDescent="0.2">
      <c r="C32" s="17"/>
    </row>
    <row r="33" spans="1:28" x14ac:dyDescent="0.2">
      <c r="A33" s="26"/>
      <c r="B33" s="26"/>
      <c r="C33" s="38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39"/>
      <c r="Z33" s="26"/>
      <c r="AA33" s="26"/>
      <c r="AB33" s="26"/>
    </row>
    <row r="34" spans="1:28" x14ac:dyDescent="0.2">
      <c r="C34" s="17"/>
    </row>
    <row r="35" spans="1:28" x14ac:dyDescent="0.2">
      <c r="C35" s="17"/>
    </row>
    <row r="36" spans="1:28" x14ac:dyDescent="0.2">
      <c r="C36" s="17"/>
    </row>
    <row r="37" spans="1:28" x14ac:dyDescent="0.2">
      <c r="C37" s="17"/>
    </row>
    <row r="38" spans="1:28" x14ac:dyDescent="0.2">
      <c r="C38" s="17"/>
    </row>
    <row r="39" spans="1:28" x14ac:dyDescent="0.2">
      <c r="C39" s="17"/>
    </row>
    <row r="40" spans="1:28" x14ac:dyDescent="0.2">
      <c r="C40" s="17"/>
    </row>
    <row r="41" spans="1:28" x14ac:dyDescent="0.2">
      <c r="C41" s="17"/>
      <c r="Y41" s="18"/>
    </row>
    <row r="42" spans="1:28" x14ac:dyDescent="0.2">
      <c r="C42" s="17"/>
      <c r="Y42" s="18"/>
    </row>
    <row r="43" spans="1:28" x14ac:dyDescent="0.2">
      <c r="C43" s="17"/>
      <c r="Y43" s="18"/>
    </row>
    <row r="44" spans="1:28" x14ac:dyDescent="0.2">
      <c r="C44" s="17"/>
      <c r="Y44" s="18"/>
    </row>
    <row r="45" spans="1:28" x14ac:dyDescent="0.2">
      <c r="C45" s="17"/>
      <c r="Y45" s="18"/>
    </row>
    <row r="46" spans="1:28" x14ac:dyDescent="0.2">
      <c r="C46" s="17"/>
      <c r="Y46" s="18"/>
    </row>
    <row r="47" spans="1:28" x14ac:dyDescent="0.2">
      <c r="C47" s="17"/>
      <c r="Y47" s="18"/>
    </row>
    <row r="48" spans="1:28" x14ac:dyDescent="0.2">
      <c r="C48" s="17"/>
      <c r="Y48" s="18"/>
    </row>
    <row r="49" spans="3:25" x14ac:dyDescent="0.2">
      <c r="C49" s="17"/>
      <c r="Y49" s="18"/>
    </row>
    <row r="50" spans="3:25" x14ac:dyDescent="0.2">
      <c r="C50" s="17"/>
      <c r="Y50" s="18"/>
    </row>
    <row r="51" spans="3:25" x14ac:dyDescent="0.2">
      <c r="C51" s="17"/>
      <c r="Y51" s="18"/>
    </row>
    <row r="52" spans="3:25" x14ac:dyDescent="0.2">
      <c r="C52" s="17"/>
      <c r="Y52" s="18"/>
    </row>
    <row r="53" spans="3:25" x14ac:dyDescent="0.2">
      <c r="C53" s="17"/>
      <c r="Y53" s="18"/>
    </row>
    <row r="54" spans="3:25" x14ac:dyDescent="0.2">
      <c r="C54" s="17"/>
      <c r="Y54" s="18"/>
    </row>
    <row r="55" spans="3:25" x14ac:dyDescent="0.2">
      <c r="C55" s="17"/>
      <c r="Y55" s="18"/>
    </row>
    <row r="56" spans="3:25" x14ac:dyDescent="0.2">
      <c r="C56" s="17"/>
      <c r="Y56" s="18"/>
    </row>
    <row r="57" spans="3:25" x14ac:dyDescent="0.2">
      <c r="C57" s="17"/>
      <c r="Y57" s="18"/>
    </row>
    <row r="58" spans="3:25" x14ac:dyDescent="0.2">
      <c r="C58" s="17"/>
      <c r="Y58" s="18"/>
    </row>
    <row r="59" spans="3:25" x14ac:dyDescent="0.2">
      <c r="C59" s="17"/>
      <c r="Y59" s="18"/>
    </row>
    <row r="60" spans="3:25" x14ac:dyDescent="0.2">
      <c r="C60" s="17"/>
      <c r="Y60" s="18"/>
    </row>
    <row r="61" spans="3:25" x14ac:dyDescent="0.2">
      <c r="C61" s="17"/>
      <c r="Y61" s="18"/>
    </row>
    <row r="62" spans="3:25" x14ac:dyDescent="0.2">
      <c r="C62" s="17"/>
    </row>
    <row r="63" spans="3:25" x14ac:dyDescent="0.2">
      <c r="C63" s="17"/>
    </row>
    <row r="64" spans="3:25" x14ac:dyDescent="0.2">
      <c r="C64" s="17"/>
    </row>
    <row r="65" spans="3:25" x14ac:dyDescent="0.2">
      <c r="C65" s="17"/>
      <c r="Y65" s="18"/>
    </row>
    <row r="66" spans="3:25" x14ac:dyDescent="0.2">
      <c r="C66" s="17"/>
      <c r="Y66" s="18"/>
    </row>
    <row r="67" spans="3:25" x14ac:dyDescent="0.2">
      <c r="C67" s="17"/>
      <c r="Y67" s="18"/>
    </row>
    <row r="68" spans="3:25" x14ac:dyDescent="0.2">
      <c r="C68" s="17"/>
      <c r="Y68" s="18"/>
    </row>
    <row r="69" spans="3:25" x14ac:dyDescent="0.2">
      <c r="C69" s="17"/>
    </row>
    <row r="70" spans="3:25" x14ac:dyDescent="0.2">
      <c r="C70" s="17"/>
    </row>
    <row r="71" spans="3:25" x14ac:dyDescent="0.2">
      <c r="C71" s="17"/>
    </row>
    <row r="72" spans="3:25" x14ac:dyDescent="0.2">
      <c r="C72" s="17"/>
    </row>
    <row r="73" spans="3:25" x14ac:dyDescent="0.2">
      <c r="C73" s="17"/>
    </row>
    <row r="74" spans="3:25" x14ac:dyDescent="0.2">
      <c r="C74" s="17"/>
    </row>
    <row r="75" spans="3:25" x14ac:dyDescent="0.2">
      <c r="C75" s="17"/>
    </row>
    <row r="76" spans="3:25" x14ac:dyDescent="0.2">
      <c r="C76" s="17"/>
    </row>
    <row r="77" spans="3:25" x14ac:dyDescent="0.2">
      <c r="C77" s="17"/>
    </row>
    <row r="78" spans="3:25" x14ac:dyDescent="0.2">
      <c r="C78" s="17"/>
    </row>
    <row r="79" spans="3:25" x14ac:dyDescent="0.2">
      <c r="C79" s="17"/>
    </row>
    <row r="80" spans="3:25" x14ac:dyDescent="0.2">
      <c r="C80" s="17"/>
    </row>
    <row r="81" spans="3:25" x14ac:dyDescent="0.2">
      <c r="C81" s="17"/>
    </row>
    <row r="82" spans="3:25" x14ac:dyDescent="0.2">
      <c r="C82" s="17"/>
    </row>
    <row r="83" spans="3:25" x14ac:dyDescent="0.2">
      <c r="C83" s="17"/>
    </row>
    <row r="84" spans="3:25" x14ac:dyDescent="0.2">
      <c r="C84" s="17"/>
    </row>
    <row r="85" spans="3:25" x14ac:dyDescent="0.2">
      <c r="C85" s="17"/>
    </row>
    <row r="86" spans="3:25" x14ac:dyDescent="0.2">
      <c r="C86" s="17"/>
    </row>
    <row r="87" spans="3:25" x14ac:dyDescent="0.2">
      <c r="C87" s="17"/>
    </row>
    <row r="88" spans="3:25" x14ac:dyDescent="0.2">
      <c r="C88" s="17"/>
    </row>
    <row r="89" spans="3:25" x14ac:dyDescent="0.2">
      <c r="C89" s="17"/>
    </row>
    <row r="90" spans="3:25" x14ac:dyDescent="0.2">
      <c r="C90" s="17"/>
      <c r="Y90" s="18"/>
    </row>
    <row r="91" spans="3:25" x14ac:dyDescent="0.2">
      <c r="C91" s="17"/>
      <c r="Y91" s="18"/>
    </row>
    <row r="92" spans="3:25" x14ac:dyDescent="0.2">
      <c r="C92" s="17"/>
      <c r="Y92" s="18"/>
    </row>
    <row r="93" spans="3:25" x14ac:dyDescent="0.2">
      <c r="C93" s="17"/>
      <c r="Y93" s="18"/>
    </row>
    <row r="94" spans="3:25" x14ac:dyDescent="0.2">
      <c r="C94" s="17"/>
      <c r="Y94" s="18"/>
    </row>
    <row r="95" spans="3:25" x14ac:dyDescent="0.2">
      <c r="C95" s="17"/>
    </row>
    <row r="96" spans="3:25" x14ac:dyDescent="0.2">
      <c r="C96" s="17"/>
      <c r="H96" s="18"/>
      <c r="Y96" s="18"/>
    </row>
    <row r="97" spans="1:25" x14ac:dyDescent="0.2">
      <c r="C97" s="17"/>
      <c r="Y97" s="18"/>
    </row>
    <row r="98" spans="1:25" x14ac:dyDescent="0.2">
      <c r="C98" s="17"/>
      <c r="Y98" s="18"/>
    </row>
    <row r="99" spans="1:25" x14ac:dyDescent="0.2">
      <c r="C99" s="17"/>
      <c r="Y99" s="18"/>
    </row>
    <row r="100" spans="1:25" x14ac:dyDescent="0.2">
      <c r="A100" s="17"/>
      <c r="C100" s="17"/>
      <c r="Y100" s="18"/>
    </row>
    <row r="101" spans="1:25" x14ac:dyDescent="0.2">
      <c r="C101" s="17"/>
      <c r="Y101" s="18"/>
    </row>
    <row r="102" spans="1:25" x14ac:dyDescent="0.2">
      <c r="C102" s="17"/>
      <c r="Y102" s="18"/>
    </row>
    <row r="103" spans="1:25" x14ac:dyDescent="0.2">
      <c r="C103" s="17"/>
      <c r="Y103" s="18"/>
    </row>
    <row r="104" spans="1:25" x14ac:dyDescent="0.2">
      <c r="C104" s="17"/>
      <c r="Y104" s="18"/>
    </row>
    <row r="105" spans="1:25" x14ac:dyDescent="0.2">
      <c r="C105" s="17"/>
      <c r="Y105" s="18"/>
    </row>
    <row r="106" spans="1:25" x14ac:dyDescent="0.2">
      <c r="C106" s="17"/>
      <c r="Y106" s="18"/>
    </row>
    <row r="107" spans="1:25" x14ac:dyDescent="0.2">
      <c r="C107" s="17"/>
      <c r="Y107" s="18"/>
    </row>
    <row r="108" spans="1:25" x14ac:dyDescent="0.2">
      <c r="C108" s="17"/>
      <c r="Y108" s="18"/>
    </row>
    <row r="109" spans="1:25" x14ac:dyDescent="0.2">
      <c r="C109" s="17"/>
      <c r="Y109" s="18"/>
    </row>
    <row r="110" spans="1:25" x14ac:dyDescent="0.2">
      <c r="C110" s="17"/>
      <c r="Y110" s="18"/>
    </row>
    <row r="111" spans="1:25" x14ac:dyDescent="0.2">
      <c r="C111" s="17"/>
      <c r="Y111" s="18"/>
    </row>
    <row r="112" spans="1:25" x14ac:dyDescent="0.2">
      <c r="C112" s="17"/>
      <c r="Y112" s="18"/>
    </row>
    <row r="113" spans="1:25" x14ac:dyDescent="0.2">
      <c r="C113" s="17"/>
      <c r="Y113" s="18"/>
    </row>
    <row r="114" spans="1:25" x14ac:dyDescent="0.2">
      <c r="C114" s="17"/>
      <c r="Y114" s="18"/>
    </row>
    <row r="115" spans="1:25" x14ac:dyDescent="0.2">
      <c r="C115" s="17"/>
      <c r="Y115" s="18"/>
    </row>
    <row r="116" spans="1:25" x14ac:dyDescent="0.2">
      <c r="C116" s="17"/>
      <c r="Y116" s="18"/>
    </row>
    <row r="117" spans="1:25" x14ac:dyDescent="0.2">
      <c r="C117" s="17"/>
      <c r="Y117" s="18"/>
    </row>
    <row r="118" spans="1:25" x14ac:dyDescent="0.2">
      <c r="C118" s="17"/>
      <c r="Y118" s="18"/>
    </row>
    <row r="119" spans="1:25" x14ac:dyDescent="0.2">
      <c r="C119" s="17"/>
      <c r="Y119" s="18"/>
    </row>
    <row r="120" spans="1:25" x14ac:dyDescent="0.2">
      <c r="C120" s="17"/>
      <c r="Y120" s="18"/>
    </row>
    <row r="121" spans="1:25" x14ac:dyDescent="0.2">
      <c r="C121" s="17"/>
      <c r="Y121" s="18"/>
    </row>
    <row r="122" spans="1:25" x14ac:dyDescent="0.2">
      <c r="A122" s="18"/>
      <c r="C122" s="17"/>
      <c r="Y122" s="18"/>
    </row>
    <row r="123" spans="1:25" x14ac:dyDescent="0.2">
      <c r="C123" s="17"/>
      <c r="Y123" s="18"/>
    </row>
    <row r="124" spans="1:25" x14ac:dyDescent="0.2">
      <c r="C124" s="17"/>
      <c r="Y124" s="18"/>
    </row>
    <row r="125" spans="1:25" x14ac:dyDescent="0.2">
      <c r="C125" s="17"/>
      <c r="Y125" s="18"/>
    </row>
    <row r="126" spans="1:25" x14ac:dyDescent="0.2">
      <c r="C126" s="17"/>
      <c r="Y126" s="18"/>
    </row>
    <row r="127" spans="1:25" x14ac:dyDescent="0.2">
      <c r="C127" s="17"/>
      <c r="Y127" s="18"/>
    </row>
    <row r="128" spans="1:25" x14ac:dyDescent="0.2">
      <c r="C128" s="17"/>
      <c r="Y128" s="18"/>
    </row>
    <row r="129" spans="3:25" x14ac:dyDescent="0.2">
      <c r="C129" s="17"/>
      <c r="Y129" s="18"/>
    </row>
    <row r="130" spans="3:25" x14ac:dyDescent="0.2">
      <c r="C130" s="17"/>
      <c r="Y130" s="18"/>
    </row>
    <row r="131" spans="3:25" x14ac:dyDescent="0.2">
      <c r="C131" s="17"/>
      <c r="Y131" s="18"/>
    </row>
    <row r="132" spans="3:25" x14ac:dyDescent="0.2">
      <c r="C132" s="17"/>
      <c r="Y132" s="18"/>
    </row>
    <row r="133" spans="3:25" x14ac:dyDescent="0.2">
      <c r="C133" s="17"/>
      <c r="Y133" s="18"/>
    </row>
    <row r="134" spans="3:25" x14ac:dyDescent="0.2">
      <c r="C134" s="17"/>
      <c r="Y134" s="18"/>
    </row>
    <row r="135" spans="3:25" x14ac:dyDescent="0.2">
      <c r="C135" s="17"/>
      <c r="Y135" s="18"/>
    </row>
    <row r="136" spans="3:25" x14ac:dyDescent="0.2">
      <c r="C136" s="17"/>
      <c r="Y136" s="18"/>
    </row>
    <row r="137" spans="3:25" x14ac:dyDescent="0.2">
      <c r="C137" s="17"/>
      <c r="Y137" s="18"/>
    </row>
    <row r="138" spans="3:25" x14ac:dyDescent="0.2">
      <c r="C138" s="17"/>
      <c r="Y138" s="18"/>
    </row>
    <row r="139" spans="3:25" x14ac:dyDescent="0.2">
      <c r="C139" s="17"/>
      <c r="Y139" s="18"/>
    </row>
    <row r="140" spans="3:25" x14ac:dyDescent="0.2">
      <c r="C140" s="17"/>
      <c r="Y140" s="18"/>
    </row>
    <row r="141" spans="3:25" x14ac:dyDescent="0.2">
      <c r="C141" s="17"/>
      <c r="Y141" s="18"/>
    </row>
    <row r="142" spans="3:25" x14ac:dyDescent="0.2">
      <c r="C142" s="17"/>
      <c r="Y142" s="18"/>
    </row>
    <row r="143" spans="3:25" x14ac:dyDescent="0.2">
      <c r="C143" s="17"/>
      <c r="Y143" s="18"/>
    </row>
    <row r="144" spans="3:25" x14ac:dyDescent="0.2">
      <c r="C144" s="17"/>
      <c r="Y144" s="18"/>
    </row>
    <row r="145" spans="3:25" x14ac:dyDescent="0.2">
      <c r="C145" s="17"/>
      <c r="Y145" s="18"/>
    </row>
    <row r="146" spans="3:25" x14ac:dyDescent="0.2">
      <c r="C146" s="17"/>
      <c r="Y146" s="18"/>
    </row>
    <row r="147" spans="3:25" x14ac:dyDescent="0.2">
      <c r="C147" s="17"/>
      <c r="Y147" s="18"/>
    </row>
    <row r="148" spans="3:25" x14ac:dyDescent="0.2">
      <c r="C148" s="17"/>
      <c r="Y148" s="18"/>
    </row>
    <row r="149" spans="3:25" x14ac:dyDescent="0.2">
      <c r="C149" s="17"/>
      <c r="Y149" s="18"/>
    </row>
    <row r="150" spans="3:25" x14ac:dyDescent="0.2">
      <c r="C150" s="17"/>
      <c r="Y150" s="18"/>
    </row>
    <row r="151" spans="3:25" x14ac:dyDescent="0.2">
      <c r="C151" s="17"/>
      <c r="Y151" s="18"/>
    </row>
    <row r="152" spans="3:25" x14ac:dyDescent="0.2">
      <c r="C152" s="17"/>
      <c r="Y152" s="18"/>
    </row>
    <row r="153" spans="3:25" x14ac:dyDescent="0.2">
      <c r="C153" s="17"/>
      <c r="Y153" s="18"/>
    </row>
    <row r="154" spans="3:25" x14ac:dyDescent="0.2">
      <c r="C154" s="17"/>
      <c r="Y154" s="18"/>
    </row>
    <row r="155" spans="3:25" x14ac:dyDescent="0.2">
      <c r="C155" s="17"/>
      <c r="Y155" s="18"/>
    </row>
    <row r="156" spans="3:25" x14ac:dyDescent="0.2">
      <c r="C156" s="17"/>
      <c r="Y156" s="18"/>
    </row>
    <row r="157" spans="3:25" x14ac:dyDescent="0.2">
      <c r="C157" s="17"/>
      <c r="Y157" s="18"/>
    </row>
    <row r="158" spans="3:25" x14ac:dyDescent="0.2">
      <c r="C158" s="17"/>
      <c r="Y158" s="18"/>
    </row>
    <row r="159" spans="3:25" x14ac:dyDescent="0.2">
      <c r="C159" s="17"/>
      <c r="Y159" s="44"/>
    </row>
    <row r="160" spans="3:25" x14ac:dyDescent="0.2">
      <c r="C160" s="17"/>
      <c r="Y160" s="18"/>
    </row>
    <row r="161" spans="3:25" x14ac:dyDescent="0.2">
      <c r="C161" s="17"/>
      <c r="Y161" s="18"/>
    </row>
    <row r="162" spans="3:25" x14ac:dyDescent="0.2">
      <c r="C162" s="17"/>
      <c r="Y162" s="18"/>
    </row>
    <row r="163" spans="3:25" x14ac:dyDescent="0.2">
      <c r="C163" s="17"/>
      <c r="Y163" s="18"/>
    </row>
    <row r="164" spans="3:25" x14ac:dyDescent="0.2">
      <c r="C164" s="17"/>
      <c r="Y164" s="18"/>
    </row>
    <row r="165" spans="3:25" x14ac:dyDescent="0.2">
      <c r="C165" s="17"/>
      <c r="Y165" s="18"/>
    </row>
    <row r="166" spans="3:25" x14ac:dyDescent="0.2">
      <c r="C166" s="17"/>
      <c r="Y166" s="18"/>
    </row>
    <row r="167" spans="3:25" x14ac:dyDescent="0.2">
      <c r="C167" s="17"/>
      <c r="Y167" s="18"/>
    </row>
    <row r="168" spans="3:25" x14ac:dyDescent="0.2">
      <c r="C168" s="17"/>
      <c r="Y168" s="44"/>
    </row>
    <row r="169" spans="3:25" x14ac:dyDescent="0.2">
      <c r="C169" s="17"/>
      <c r="Y169" s="18"/>
    </row>
    <row r="170" spans="3:25" x14ac:dyDescent="0.2">
      <c r="C170" s="17"/>
      <c r="Y170" s="18"/>
    </row>
    <row r="171" spans="3:25" x14ac:dyDescent="0.2">
      <c r="C171" s="17"/>
      <c r="Y171" s="18"/>
    </row>
    <row r="172" spans="3:25" x14ac:dyDescent="0.2">
      <c r="C172" s="17"/>
      <c r="Y172" s="18"/>
    </row>
    <row r="173" spans="3:25" x14ac:dyDescent="0.2">
      <c r="C173" s="17"/>
      <c r="Y173" s="18"/>
    </row>
    <row r="174" spans="3:25" x14ac:dyDescent="0.2">
      <c r="C174" s="17"/>
      <c r="O174" s="47"/>
      <c r="P174" s="47"/>
      <c r="Y174" s="18"/>
    </row>
    <row r="175" spans="3:25" x14ac:dyDescent="0.2">
      <c r="C175" s="17"/>
      <c r="Y175" s="18"/>
    </row>
    <row r="176" spans="3:25" x14ac:dyDescent="0.2">
      <c r="C176" s="17"/>
      <c r="Y176" s="18"/>
    </row>
    <row r="177" spans="3:25" x14ac:dyDescent="0.2">
      <c r="C177" s="17"/>
      <c r="Y177" s="18"/>
    </row>
    <row r="178" spans="3:25" x14ac:dyDescent="0.2">
      <c r="C178" s="17"/>
      <c r="Y178" s="18"/>
    </row>
    <row r="179" spans="3:25" x14ac:dyDescent="0.2">
      <c r="C179" s="17"/>
      <c r="Y179" s="18"/>
    </row>
    <row r="180" spans="3:25" x14ac:dyDescent="0.2">
      <c r="C180" s="17"/>
      <c r="Y180" s="18"/>
    </row>
    <row r="181" spans="3:25" x14ac:dyDescent="0.2">
      <c r="C181" s="17"/>
      <c r="Y181" s="18"/>
    </row>
    <row r="182" spans="3:25" x14ac:dyDescent="0.2">
      <c r="C182" s="17"/>
      <c r="Y182" s="18"/>
    </row>
    <row r="183" spans="3:25" x14ac:dyDescent="0.2">
      <c r="C183" s="17"/>
      <c r="Y183" s="18"/>
    </row>
    <row r="184" spans="3:25" x14ac:dyDescent="0.2">
      <c r="C184" s="17"/>
      <c r="Y184" s="18"/>
    </row>
    <row r="185" spans="3:25" x14ac:dyDescent="0.2">
      <c r="C185" s="17"/>
      <c r="Y185" s="18"/>
    </row>
    <row r="186" spans="3:25" x14ac:dyDescent="0.2">
      <c r="C186" s="17"/>
      <c r="Y186" s="18"/>
    </row>
    <row r="187" spans="3:25" x14ac:dyDescent="0.2">
      <c r="C187" s="17"/>
      <c r="Y187" s="18"/>
    </row>
    <row r="188" spans="3:25" x14ac:dyDescent="0.2">
      <c r="C188" s="17"/>
      <c r="Y188" s="18"/>
    </row>
    <row r="189" spans="3:25" x14ac:dyDescent="0.2">
      <c r="C189" s="17"/>
      <c r="Y189" s="18"/>
    </row>
    <row r="190" spans="3:25" x14ac:dyDescent="0.2">
      <c r="C190" s="17"/>
      <c r="Y190" s="18"/>
    </row>
    <row r="191" spans="3:25" x14ac:dyDescent="0.2">
      <c r="C191" s="17"/>
      <c r="Y191" s="18"/>
    </row>
    <row r="192" spans="3:25" x14ac:dyDescent="0.2">
      <c r="C192" s="17"/>
      <c r="Y192" s="18"/>
    </row>
    <row r="193" spans="3:25" x14ac:dyDescent="0.2">
      <c r="C193" s="17"/>
      <c r="Y193" s="18"/>
    </row>
    <row r="194" spans="3:25" x14ac:dyDescent="0.2">
      <c r="C194" s="17"/>
      <c r="Y194" s="18"/>
    </row>
    <row r="195" spans="3:25" x14ac:dyDescent="0.2">
      <c r="C195" s="17"/>
      <c r="Y195" s="18"/>
    </row>
    <row r="196" spans="3:25" x14ac:dyDescent="0.2">
      <c r="C196" s="17"/>
      <c r="Y196" s="18"/>
    </row>
    <row r="197" spans="3:25" x14ac:dyDescent="0.2">
      <c r="C197" s="17"/>
      <c r="Y197" s="18"/>
    </row>
    <row r="198" spans="3:25" x14ac:dyDescent="0.2">
      <c r="C198" s="17"/>
      <c r="Y198" s="18"/>
    </row>
    <row r="199" spans="3:25" x14ac:dyDescent="0.2">
      <c r="C199" s="17"/>
      <c r="Y199" s="18"/>
    </row>
    <row r="200" spans="3:25" x14ac:dyDescent="0.2">
      <c r="C200" s="17"/>
      <c r="Y200" s="18"/>
    </row>
    <row r="201" spans="3:25" x14ac:dyDescent="0.2">
      <c r="C201" s="17"/>
      <c r="Y201" s="18"/>
    </row>
    <row r="202" spans="3:25" x14ac:dyDescent="0.2">
      <c r="C202" s="17"/>
      <c r="Y202" s="18"/>
    </row>
    <row r="203" spans="3:25" x14ac:dyDescent="0.2">
      <c r="C203" s="17"/>
      <c r="Y203" s="18"/>
    </row>
    <row r="204" spans="3:25" x14ac:dyDescent="0.2">
      <c r="C204" s="17"/>
      <c r="Y204" s="18"/>
    </row>
    <row r="205" spans="3:25" x14ac:dyDescent="0.2">
      <c r="C205" s="17"/>
      <c r="Y205" s="18"/>
    </row>
    <row r="206" spans="3:25" x14ac:dyDescent="0.2">
      <c r="C206" s="17"/>
      <c r="Y206" s="18"/>
    </row>
    <row r="207" spans="3:25" x14ac:dyDescent="0.2">
      <c r="C207" s="17"/>
      <c r="Y207" s="18"/>
    </row>
    <row r="208" spans="3:25" x14ac:dyDescent="0.2">
      <c r="C208" s="17"/>
      <c r="Y208" s="18"/>
    </row>
    <row r="209" spans="3:25" x14ac:dyDescent="0.2">
      <c r="C209" s="17"/>
      <c r="Y209" s="18"/>
    </row>
    <row r="210" spans="3:25" x14ac:dyDescent="0.2">
      <c r="C210" s="17"/>
      <c r="Y210" s="18"/>
    </row>
    <row r="211" spans="3:25" x14ac:dyDescent="0.2">
      <c r="C211" s="17"/>
      <c r="Y211" s="18"/>
    </row>
    <row r="212" spans="3:25" x14ac:dyDescent="0.2">
      <c r="C212" s="17"/>
      <c r="Y212" s="18"/>
    </row>
    <row r="213" spans="3:25" x14ac:dyDescent="0.2">
      <c r="C213" s="17"/>
      <c r="Y213" s="18"/>
    </row>
    <row r="214" spans="3:25" x14ac:dyDescent="0.2">
      <c r="C214" s="17"/>
      <c r="Y214" s="18"/>
    </row>
    <row r="215" spans="3:25" x14ac:dyDescent="0.2">
      <c r="C215" s="17"/>
      <c r="Y215" s="18"/>
    </row>
    <row r="216" spans="3:25" x14ac:dyDescent="0.2">
      <c r="C216" s="17"/>
      <c r="Y216" s="18"/>
    </row>
    <row r="217" spans="3:25" x14ac:dyDescent="0.2">
      <c r="C217" s="17"/>
      <c r="Y217" s="18"/>
    </row>
    <row r="218" spans="3:25" x14ac:dyDescent="0.2">
      <c r="C218" s="17"/>
      <c r="Y218" s="18"/>
    </row>
    <row r="219" spans="3:25" x14ac:dyDescent="0.2">
      <c r="C219" s="17"/>
      <c r="Y219" s="18"/>
    </row>
    <row r="220" spans="3:25" x14ac:dyDescent="0.2">
      <c r="C220" s="17"/>
      <c r="Y220" s="18"/>
    </row>
    <row r="221" spans="3:25" x14ac:dyDescent="0.2">
      <c r="C221" s="17"/>
      <c r="Y221" s="18"/>
    </row>
    <row r="222" spans="3:25" x14ac:dyDescent="0.2">
      <c r="C222" s="17"/>
      <c r="Y222" s="18"/>
    </row>
    <row r="223" spans="3:25" x14ac:dyDescent="0.2">
      <c r="C223" s="17"/>
      <c r="Y223" s="18"/>
    </row>
    <row r="224" spans="3:25" x14ac:dyDescent="0.2">
      <c r="C224" s="17"/>
      <c r="Y224" s="18"/>
    </row>
    <row r="225" spans="3:25" x14ac:dyDescent="0.2">
      <c r="C225" s="17"/>
      <c r="Y225" s="44"/>
    </row>
    <row r="226" spans="3:25" x14ac:dyDescent="0.2">
      <c r="C226" s="17"/>
      <c r="Y226" s="18"/>
    </row>
    <row r="227" spans="3:25" x14ac:dyDescent="0.2">
      <c r="C227" s="17"/>
      <c r="Y227" s="18"/>
    </row>
    <row r="228" spans="3:25" x14ac:dyDescent="0.2">
      <c r="C228" s="17"/>
      <c r="Y228" s="18"/>
    </row>
    <row r="229" spans="3:25" x14ac:dyDescent="0.2">
      <c r="C229" s="17"/>
      <c r="Y229" s="18"/>
    </row>
    <row r="230" spans="3:25" x14ac:dyDescent="0.2">
      <c r="C230" s="17"/>
      <c r="Y230" s="18"/>
    </row>
    <row r="231" spans="3:25" x14ac:dyDescent="0.2">
      <c r="C231" s="17"/>
      <c r="Y231" s="18"/>
    </row>
    <row r="232" spans="3:25" x14ac:dyDescent="0.2">
      <c r="C232" s="17"/>
      <c r="Y232" s="18"/>
    </row>
    <row r="233" spans="3:25" x14ac:dyDescent="0.2">
      <c r="C233" s="17"/>
      <c r="Y233" s="18"/>
    </row>
    <row r="234" spans="3:25" x14ac:dyDescent="0.2">
      <c r="C234" s="17"/>
      <c r="Y234" s="18"/>
    </row>
    <row r="235" spans="3:25" x14ac:dyDescent="0.2">
      <c r="C235" s="17"/>
      <c r="Y235" s="18"/>
    </row>
    <row r="236" spans="3:25" x14ac:dyDescent="0.2">
      <c r="C236" s="17"/>
      <c r="Y236" s="18"/>
    </row>
    <row r="237" spans="3:25" x14ac:dyDescent="0.2">
      <c r="C237" s="17"/>
      <c r="Y237" s="18"/>
    </row>
    <row r="238" spans="3:25" x14ac:dyDescent="0.2">
      <c r="C238" s="17"/>
      <c r="Y238" s="18"/>
    </row>
    <row r="239" spans="3:25" x14ac:dyDescent="0.2">
      <c r="C239" s="17"/>
      <c r="Y239" s="18"/>
    </row>
    <row r="240" spans="3:25" x14ac:dyDescent="0.2">
      <c r="C240" s="17"/>
      <c r="Y240" s="18"/>
    </row>
    <row r="241" spans="3:25" x14ac:dyDescent="0.2">
      <c r="C241" s="17"/>
      <c r="Y241" s="18"/>
    </row>
    <row r="242" spans="3:25" x14ac:dyDescent="0.2">
      <c r="C242" s="17"/>
      <c r="Y242" s="18"/>
    </row>
    <row r="243" spans="3:25" x14ac:dyDescent="0.2">
      <c r="C243" s="17"/>
      <c r="Y243" s="18"/>
    </row>
    <row r="244" spans="3:25" x14ac:dyDescent="0.2">
      <c r="C244" s="17"/>
      <c r="Y244" s="18"/>
    </row>
    <row r="245" spans="3:25" x14ac:dyDescent="0.2">
      <c r="C245" s="17"/>
      <c r="Y245" s="18"/>
    </row>
    <row r="246" spans="3:25" x14ac:dyDescent="0.2">
      <c r="C246" s="17"/>
      <c r="Y246" s="18"/>
    </row>
    <row r="247" spans="3:25" x14ac:dyDescent="0.2">
      <c r="C247" s="17"/>
      <c r="Y247" s="18"/>
    </row>
    <row r="248" spans="3:25" x14ac:dyDescent="0.2">
      <c r="C248" s="17"/>
      <c r="Y248" s="18"/>
    </row>
    <row r="249" spans="3:25" x14ac:dyDescent="0.2">
      <c r="C249" s="17"/>
      <c r="Y249" s="44"/>
    </row>
  </sheetData>
  <autoFilter ref="A1:AC249" xr:uid="{00000000-0001-0000-0100-000000000000}"/>
  <conditionalFormatting sqref="A119:A1048576 A93:A97 A1:A91 A99:A116">
    <cfRule type="duplicateValues" dxfId="1" priority="2"/>
  </conditionalFormatting>
  <conditionalFormatting sqref="AE102:AF102 A98:B98 F98:P98 Y98:AA98 D98">
    <cfRule type="duplicateValues" dxfId="0" priority="1"/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E391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6" x14ac:dyDescent="0.2"/>
  <cols>
    <col min="1" max="1" width="9.5" bestFit="1" customWidth="1"/>
    <col min="2" max="2" width="25.1640625" bestFit="1" customWidth="1"/>
    <col min="5" max="5" width="10.83203125" style="27"/>
  </cols>
  <sheetData>
    <row r="1" spans="1:9" x14ac:dyDescent="0.2">
      <c r="A1" t="s">
        <v>34</v>
      </c>
      <c r="B1" t="s">
        <v>35</v>
      </c>
      <c r="C1" t="s">
        <v>57</v>
      </c>
      <c r="D1" t="s">
        <v>58</v>
      </c>
      <c r="E1" s="27" t="s">
        <v>59</v>
      </c>
      <c r="F1" t="s">
        <v>60</v>
      </c>
      <c r="G1" t="s">
        <v>61</v>
      </c>
      <c r="H1" t="s">
        <v>6</v>
      </c>
      <c r="I1" t="s">
        <v>62</v>
      </c>
    </row>
    <row r="2" spans="1:9" x14ac:dyDescent="0.2">
      <c r="H2" s="16"/>
    </row>
    <row r="3" spans="1:9" x14ac:dyDescent="0.2">
      <c r="H3" s="16"/>
    </row>
    <row r="4" spans="1:9" x14ac:dyDescent="0.2">
      <c r="H4" s="16"/>
    </row>
    <row r="5" spans="1:9" x14ac:dyDescent="0.2">
      <c r="H5" s="16"/>
    </row>
    <row r="6" spans="1:9" x14ac:dyDescent="0.2">
      <c r="H6" s="16"/>
    </row>
    <row r="7" spans="1:9" x14ac:dyDescent="0.2">
      <c r="H7" s="16"/>
    </row>
    <row r="8" spans="1:9" x14ac:dyDescent="0.2">
      <c r="H8" s="16"/>
    </row>
    <row r="9" spans="1:9" x14ac:dyDescent="0.2">
      <c r="H9" s="16"/>
    </row>
    <row r="10" spans="1:9" x14ac:dyDescent="0.2">
      <c r="H10" s="16"/>
    </row>
    <row r="11" spans="1:9" x14ac:dyDescent="0.2">
      <c r="H11" s="16"/>
    </row>
    <row r="12" spans="1:9" x14ac:dyDescent="0.2">
      <c r="H12" s="16"/>
    </row>
    <row r="13" spans="1:9" x14ac:dyDescent="0.2">
      <c r="H13" s="16"/>
    </row>
    <row r="14" spans="1:9" x14ac:dyDescent="0.2">
      <c r="H14" s="16"/>
    </row>
    <row r="15" spans="1:9" x14ac:dyDescent="0.2">
      <c r="H15" s="16"/>
    </row>
    <row r="16" spans="1:9" x14ac:dyDescent="0.2">
      <c r="H16" s="16"/>
    </row>
    <row r="17" spans="8:8" x14ac:dyDescent="0.2">
      <c r="H17" s="16"/>
    </row>
    <row r="362" spans="1:1" x14ac:dyDescent="0.2">
      <c r="A362" s="26"/>
    </row>
    <row r="1511" spans="5:5" x14ac:dyDescent="0.2">
      <c r="E1511"/>
    </row>
    <row r="1512" spans="5:5" x14ac:dyDescent="0.2">
      <c r="E1512"/>
    </row>
    <row r="1513" spans="5:5" x14ac:dyDescent="0.2">
      <c r="E1513"/>
    </row>
    <row r="1514" spans="5:5" x14ac:dyDescent="0.2">
      <c r="E1514"/>
    </row>
    <row r="1515" spans="5:5" x14ac:dyDescent="0.2">
      <c r="E1515"/>
    </row>
    <row r="1516" spans="5:5" x14ac:dyDescent="0.2">
      <c r="E1516"/>
    </row>
    <row r="1517" spans="5:5" x14ac:dyDescent="0.2">
      <c r="E1517"/>
    </row>
    <row r="1518" spans="5:5" x14ac:dyDescent="0.2">
      <c r="E1518"/>
    </row>
    <row r="1519" spans="5:5" x14ac:dyDescent="0.2">
      <c r="E1519"/>
    </row>
    <row r="1520" spans="5:5" x14ac:dyDescent="0.2">
      <c r="E1520"/>
    </row>
    <row r="1521" spans="5:5" x14ac:dyDescent="0.2">
      <c r="E1521"/>
    </row>
    <row r="1522" spans="5:5" x14ac:dyDescent="0.2">
      <c r="E1522"/>
    </row>
    <row r="1523" spans="5:5" x14ac:dyDescent="0.2">
      <c r="E1523"/>
    </row>
    <row r="1524" spans="5:5" x14ac:dyDescent="0.2">
      <c r="E1524"/>
    </row>
    <row r="1525" spans="5:5" x14ac:dyDescent="0.2">
      <c r="E1525"/>
    </row>
    <row r="1526" spans="5:5" x14ac:dyDescent="0.2">
      <c r="E1526"/>
    </row>
    <row r="1527" spans="5:5" x14ac:dyDescent="0.2">
      <c r="E1527"/>
    </row>
    <row r="1528" spans="5:5" x14ac:dyDescent="0.2">
      <c r="E1528"/>
    </row>
    <row r="1668" spans="2:187" x14ac:dyDescent="0.2">
      <c r="B1668" s="26"/>
    </row>
    <row r="1669" spans="2:187" x14ac:dyDescent="0.2">
      <c r="B1669" s="26"/>
    </row>
    <row r="1673" spans="2:187" x14ac:dyDescent="0.2">
      <c r="H1673" s="27"/>
      <c r="I1673" s="27"/>
      <c r="J1673" s="27"/>
      <c r="K1673" s="27"/>
      <c r="L1673" s="27"/>
      <c r="M1673" s="27"/>
      <c r="N1673" s="27"/>
      <c r="O1673" s="27"/>
      <c r="P1673" s="27"/>
      <c r="Q1673" s="27"/>
      <c r="R1673" s="27"/>
      <c r="S1673" s="27"/>
      <c r="T1673" s="27"/>
      <c r="U1673" s="27"/>
      <c r="V1673" s="27"/>
      <c r="W1673" s="27"/>
      <c r="X1673" s="27"/>
      <c r="Y1673" s="27"/>
      <c r="Z1673" s="27"/>
      <c r="AA1673" s="27"/>
      <c r="AB1673" s="27"/>
      <c r="AC1673" s="27"/>
      <c r="AD1673" s="27"/>
      <c r="AE1673" s="27"/>
      <c r="AF1673" s="27"/>
      <c r="AG1673" s="27"/>
      <c r="AH1673" s="27"/>
      <c r="AI1673" s="27"/>
      <c r="AJ1673" s="27"/>
      <c r="AK1673" s="27"/>
      <c r="AL1673" s="27"/>
      <c r="AM1673" s="27"/>
      <c r="AN1673" s="27"/>
      <c r="AO1673" s="27"/>
      <c r="AP1673" s="27"/>
      <c r="AQ1673" s="27"/>
      <c r="AR1673" s="27"/>
      <c r="AS1673" s="27"/>
      <c r="AT1673" s="27"/>
      <c r="AU1673" s="27"/>
      <c r="AV1673" s="27"/>
      <c r="AW1673" s="27"/>
      <c r="AX1673" s="27"/>
      <c r="AY1673" s="27"/>
      <c r="AZ1673" s="27"/>
      <c r="BA1673" s="27"/>
      <c r="BB1673" s="27"/>
      <c r="BC1673" s="27"/>
      <c r="BD1673" s="27"/>
      <c r="BE1673" s="27"/>
      <c r="BF1673" s="27"/>
      <c r="BG1673" s="27"/>
      <c r="BH1673" s="27"/>
      <c r="BI1673" s="27"/>
      <c r="BJ1673" s="27"/>
      <c r="BK1673" s="27"/>
      <c r="BL1673" s="27"/>
      <c r="BM1673" s="27"/>
      <c r="BN1673" s="27"/>
      <c r="BO1673" s="27"/>
      <c r="BP1673" s="27"/>
      <c r="BQ1673" s="27"/>
      <c r="BR1673" s="27"/>
      <c r="BS1673" s="27"/>
      <c r="BT1673" s="27"/>
      <c r="BU1673" s="27"/>
      <c r="BV1673" s="27"/>
      <c r="BW1673" s="27"/>
      <c r="BX1673" s="27"/>
      <c r="BY1673" s="27"/>
      <c r="BZ1673" s="27"/>
      <c r="CA1673" s="27"/>
      <c r="CB1673" s="27"/>
      <c r="CC1673" s="27"/>
      <c r="CD1673" s="27"/>
      <c r="CE1673" s="27"/>
      <c r="CF1673" s="27"/>
      <c r="CG1673" s="27"/>
      <c r="CH1673" s="27"/>
      <c r="CI1673" s="27"/>
      <c r="CJ1673" s="27"/>
      <c r="CK1673" s="27"/>
      <c r="CL1673" s="27"/>
      <c r="CM1673" s="27"/>
      <c r="CN1673" s="27"/>
      <c r="CO1673" s="27"/>
      <c r="CP1673" s="27"/>
      <c r="CQ1673" s="27"/>
      <c r="CR1673" s="27"/>
      <c r="CS1673" s="27"/>
      <c r="CT1673" s="27"/>
      <c r="CU1673" s="27"/>
      <c r="CV1673" s="27"/>
      <c r="CW1673" s="27"/>
      <c r="CX1673" s="27"/>
      <c r="CY1673" s="27"/>
      <c r="CZ1673" s="27"/>
      <c r="DA1673" s="27"/>
      <c r="DB1673" s="27"/>
      <c r="DC1673" s="27"/>
      <c r="DD1673" s="27"/>
      <c r="DE1673" s="27"/>
      <c r="DF1673" s="27"/>
      <c r="DG1673" s="27"/>
      <c r="DH1673" s="27"/>
      <c r="DI1673" s="27"/>
      <c r="DJ1673" s="27"/>
      <c r="DK1673" s="27"/>
      <c r="DL1673" s="27"/>
      <c r="DM1673" s="27"/>
      <c r="DN1673" s="27"/>
      <c r="DO1673" s="27"/>
      <c r="DP1673" s="27"/>
      <c r="DQ1673" s="27"/>
      <c r="DR1673" s="27"/>
      <c r="DS1673" s="27"/>
      <c r="DT1673" s="27"/>
      <c r="DU1673" s="27"/>
      <c r="DV1673" s="27"/>
      <c r="DW1673" s="27"/>
      <c r="DX1673" s="27"/>
      <c r="DY1673" s="27"/>
      <c r="DZ1673" s="27"/>
      <c r="EA1673" s="27"/>
      <c r="EB1673" s="27"/>
      <c r="EC1673" s="27"/>
      <c r="ED1673" s="27"/>
      <c r="EE1673" s="27"/>
      <c r="EF1673" s="27"/>
      <c r="EG1673" s="27"/>
      <c r="EH1673" s="27"/>
      <c r="EI1673" s="27"/>
      <c r="EJ1673" s="27"/>
      <c r="EK1673" s="27"/>
      <c r="EL1673" s="27"/>
      <c r="EM1673" s="27"/>
      <c r="EN1673" s="27"/>
      <c r="EO1673" s="27"/>
      <c r="EP1673" s="27"/>
      <c r="EQ1673" s="27"/>
      <c r="ER1673" s="27"/>
      <c r="ES1673" s="27"/>
      <c r="ET1673" s="27"/>
      <c r="EU1673" s="27"/>
      <c r="EV1673" s="27"/>
      <c r="EW1673" s="27"/>
      <c r="EX1673" s="27"/>
      <c r="EY1673" s="27"/>
      <c r="EZ1673" s="27"/>
      <c r="FA1673" s="27"/>
      <c r="FB1673" s="27"/>
      <c r="FC1673" s="27"/>
      <c r="FD1673" s="27"/>
      <c r="FE1673" s="27"/>
      <c r="FF1673" s="27"/>
      <c r="FG1673" s="27"/>
      <c r="FH1673" s="27"/>
      <c r="FI1673" s="27"/>
      <c r="FJ1673" s="27"/>
      <c r="FK1673" s="27"/>
      <c r="FL1673" s="27"/>
      <c r="FM1673" s="27"/>
      <c r="FN1673" s="27"/>
      <c r="FO1673" s="27"/>
      <c r="FP1673" s="27"/>
      <c r="FQ1673" s="27"/>
      <c r="FR1673" s="27"/>
      <c r="FS1673" s="27"/>
      <c r="FT1673" s="27"/>
      <c r="FU1673" s="27"/>
      <c r="FV1673" s="27"/>
      <c r="FW1673" s="27"/>
      <c r="FX1673" s="27"/>
      <c r="FY1673" s="27"/>
      <c r="FZ1673" s="27"/>
      <c r="GA1673" s="27"/>
      <c r="GB1673" s="27"/>
      <c r="GC1673" s="27"/>
      <c r="GD1673" s="27"/>
      <c r="GE1673" s="27"/>
    </row>
    <row r="2112" spans="2:2" x14ac:dyDescent="0.2">
      <c r="B2112" s="26"/>
    </row>
    <row r="2113" spans="2:2" x14ac:dyDescent="0.2">
      <c r="B2113" s="26"/>
    </row>
    <row r="2114" spans="2:2" x14ac:dyDescent="0.2">
      <c r="B2114" s="26"/>
    </row>
    <row r="3914" spans="3:25" x14ac:dyDescent="0.2">
      <c r="C3914" s="17"/>
      <c r="Y3914" s="18"/>
    </row>
  </sheetData>
  <autoFilter ref="A1:I4345" xr:uid="{00000000-0001-0000-0200-000000000000}"/>
  <phoneticPr fontId="1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Dashboard</vt:lpstr>
      <vt:lpstr>DataSpiele</vt:lpstr>
      <vt:lpstr>DataSpieler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Zuphael</dc:creator>
  <cp:keywords/>
  <dc:description/>
  <cp:lastModifiedBy>Kay Puppa</cp:lastModifiedBy>
  <dcterms:created xsi:type="dcterms:W3CDTF">2025-12-23T19:07:29Z</dcterms:created>
  <dcterms:modified xsi:type="dcterms:W3CDTF">2026-02-01T15:36:41Z</dcterms:modified>
  <cp:category/>
</cp:coreProperties>
</file>