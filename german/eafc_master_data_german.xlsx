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aypuppa/Desktop/"/>
    </mc:Choice>
  </mc:AlternateContent>
  <xr:revisionPtr revIDLastSave="0" documentId="13_ncr:1_{CA58470A-111F-CF49-AFE3-3E61C8C35828}" xr6:coauthVersionLast="47" xr6:coauthVersionMax="47" xr10:uidLastSave="{00000000-0000-0000-0000-000000000000}"/>
  <bookViews>
    <workbookView xWindow="7040" yWindow="7820" windowWidth="41120" windowHeight="18960" xr2:uid="{00000000-000D-0000-FFFF-FFFF00000000}"/>
  </bookViews>
  <sheets>
    <sheet name="Dashboard" sheetId="1" r:id="rId1"/>
    <sheet name="DataSpiele" sheetId="2" r:id="rId2"/>
    <sheet name="DataSpieler" sheetId="3" r:id="rId3"/>
  </sheets>
  <definedNames>
    <definedName name="_xlnm._FilterDatabase" localSheetId="2" hidden="1">DataSpieler!$A$1:$I$1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H52" i="1"/>
  <c r="I51" i="1"/>
  <c r="H51" i="1"/>
  <c r="I47" i="1"/>
  <c r="H47" i="1"/>
  <c r="I46" i="1"/>
  <c r="H46" i="1"/>
  <c r="H41" i="1"/>
  <c r="I41" i="1"/>
  <c r="I42" i="1"/>
  <c r="H42" i="1"/>
  <c r="D5" i="1" l="1"/>
  <c r="D6" i="1"/>
  <c r="D7" i="1"/>
  <c r="D8" i="1"/>
  <c r="D9" i="1"/>
  <c r="D10" i="1"/>
  <c r="D11" i="1"/>
  <c r="D12" i="1"/>
  <c r="D13" i="1"/>
  <c r="D14" i="1"/>
  <c r="D16" i="1"/>
  <c r="D17" i="1"/>
  <c r="D18" i="1"/>
  <c r="D19" i="1"/>
  <c r="D20" i="1"/>
  <c r="D21" i="1"/>
  <c r="D22" i="1"/>
  <c r="D24" i="1"/>
  <c r="D25" i="1"/>
  <c r="D26" i="1"/>
  <c r="D4" i="1"/>
  <c r="E58" i="1" l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57" i="1" a="1"/>
  <c r="E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57" i="1" a="1"/>
  <c r="C57" i="1" s="1"/>
  <c r="I35" i="1"/>
  <c r="B33" i="1"/>
  <c r="I30" i="1"/>
  <c r="G30" i="1"/>
  <c r="F30" i="1"/>
  <c r="D30" i="1"/>
  <c r="C30" i="1"/>
  <c r="B30" i="1"/>
  <c r="I26" i="1"/>
  <c r="H26" i="1"/>
  <c r="F26" i="1"/>
  <c r="E26" i="1"/>
  <c r="I25" i="1"/>
  <c r="H25" i="1"/>
  <c r="F25" i="1"/>
  <c r="E25" i="1"/>
  <c r="I24" i="1"/>
  <c r="H24" i="1"/>
  <c r="F24" i="1"/>
  <c r="E24" i="1"/>
  <c r="I22" i="1"/>
  <c r="H22" i="1"/>
  <c r="F22" i="1"/>
  <c r="E22" i="1"/>
  <c r="I21" i="1"/>
  <c r="H21" i="1"/>
  <c r="F21" i="1"/>
  <c r="E21" i="1"/>
  <c r="I20" i="1"/>
  <c r="H20" i="1"/>
  <c r="F20" i="1"/>
  <c r="E20" i="1"/>
  <c r="I19" i="1"/>
  <c r="H19" i="1"/>
  <c r="F19" i="1"/>
  <c r="E19" i="1"/>
  <c r="I18" i="1"/>
  <c r="H18" i="1"/>
  <c r="F18" i="1"/>
  <c r="E18" i="1"/>
  <c r="I17" i="1"/>
  <c r="H17" i="1"/>
  <c r="F17" i="1"/>
  <c r="E17" i="1"/>
  <c r="I16" i="1"/>
  <c r="H16" i="1"/>
  <c r="F16" i="1"/>
  <c r="E16" i="1"/>
  <c r="I14" i="1"/>
  <c r="H14" i="1"/>
  <c r="F14" i="1"/>
  <c r="E14" i="1"/>
  <c r="I13" i="1"/>
  <c r="H13" i="1"/>
  <c r="F13" i="1"/>
  <c r="E13" i="1"/>
  <c r="I12" i="1"/>
  <c r="H12" i="1"/>
  <c r="F12" i="1"/>
  <c r="E12" i="1"/>
  <c r="I11" i="1"/>
  <c r="H11" i="1"/>
  <c r="F11" i="1"/>
  <c r="E11" i="1"/>
  <c r="I10" i="1"/>
  <c r="H10" i="1"/>
  <c r="F10" i="1"/>
  <c r="E10" i="1"/>
  <c r="I9" i="1"/>
  <c r="H9" i="1"/>
  <c r="F9" i="1"/>
  <c r="E9" i="1"/>
  <c r="I8" i="1"/>
  <c r="H8" i="1"/>
  <c r="F8" i="1"/>
  <c r="E8" i="1"/>
  <c r="I7" i="1"/>
  <c r="H7" i="1"/>
  <c r="F7" i="1"/>
  <c r="E7" i="1"/>
  <c r="I6" i="1"/>
  <c r="H6" i="1"/>
  <c r="F6" i="1"/>
  <c r="E6" i="1"/>
  <c r="I5" i="1"/>
  <c r="H5" i="1"/>
  <c r="F5" i="1"/>
  <c r="E5" i="1"/>
  <c r="I4" i="1"/>
  <c r="H4" i="1"/>
  <c r="F4" i="1"/>
  <c r="E4" i="1"/>
  <c r="I60" i="1" l="1"/>
  <c r="I58" i="1" s="1"/>
  <c r="D57" i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G13" i="1"/>
  <c r="G16" i="1"/>
  <c r="G19" i="1"/>
  <c r="G12" i="1"/>
  <c r="C46" i="1"/>
  <c r="C44" i="1" s="1"/>
  <c r="G7" i="1"/>
  <c r="G8" i="1"/>
  <c r="G6" i="1"/>
  <c r="G26" i="1"/>
  <c r="E51" i="1"/>
  <c r="E49" i="1" s="1"/>
  <c r="G9" i="1"/>
  <c r="G10" i="1"/>
  <c r="G25" i="1"/>
  <c r="G22" i="1"/>
  <c r="G11" i="1"/>
  <c r="G5" i="1"/>
  <c r="G24" i="1"/>
  <c r="G17" i="1"/>
  <c r="G21" i="1"/>
  <c r="G14" i="1"/>
  <c r="E41" i="1"/>
  <c r="E39" i="1" s="1"/>
  <c r="F33" i="1"/>
  <c r="G18" i="1"/>
  <c r="G20" i="1"/>
  <c r="G33" i="1"/>
  <c r="D46" i="1"/>
  <c r="D44" i="1" s="1"/>
  <c r="E46" i="1"/>
  <c r="E44" i="1" s="1"/>
  <c r="C41" i="1"/>
  <c r="C39" i="1" s="1"/>
  <c r="D41" i="1"/>
  <c r="D39" i="1" s="1"/>
  <c r="C51" i="1"/>
  <c r="C49" i="1" s="1"/>
  <c r="D51" i="1"/>
  <c r="D49" i="1" s="1"/>
  <c r="G4" i="1"/>
  <c r="G60" i="1" l="1"/>
  <c r="G58" i="1" s="1"/>
  <c r="G36" i="1"/>
  <c r="C3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<sst xmlns="http://schemas.openxmlformats.org/spreadsheetml/2006/main" count="120" uniqueCount="99">
  <si>
    <t>Statistics</t>
  </si>
  <si>
    <t>Main Squad</t>
  </si>
  <si>
    <t>Games</t>
  </si>
  <si>
    <t>Goals</t>
  </si>
  <si>
    <t>Assists</t>
  </si>
  <si>
    <t>Contributions</t>
  </si>
  <si>
    <t>MOTM</t>
  </si>
  <si>
    <t>Avg. Rating</t>
  </si>
  <si>
    <t>C. Pina</t>
  </si>
  <si>
    <t>J. Cruyff</t>
  </si>
  <si>
    <t>M. Salah</t>
  </si>
  <si>
    <t>F. Valverde</t>
  </si>
  <si>
    <t>J. Scott</t>
  </si>
  <si>
    <t>J. Alba</t>
  </si>
  <si>
    <t>G. Chiellini</t>
  </si>
  <si>
    <t>G. Zambrotta</t>
  </si>
  <si>
    <t>T. Courtois</t>
  </si>
  <si>
    <t>Bench</t>
  </si>
  <si>
    <t>P. Dybala</t>
  </si>
  <si>
    <t>G. Reiten</t>
  </si>
  <si>
    <t>S. Mané</t>
  </si>
  <si>
    <t>D. Sinani</t>
  </si>
  <si>
    <t>Y. Hasegawa</t>
  </si>
  <si>
    <t>J. Tah</t>
  </si>
  <si>
    <t>H. Sawa</t>
  </si>
  <si>
    <t>Legacy</t>
  </si>
  <si>
    <t>W. Pacho</t>
  </si>
  <si>
    <t>Current Record</t>
  </si>
  <si>
    <t>Goals Difference</t>
  </si>
  <si>
    <t>Clean Sheets</t>
  </si>
  <si>
    <t>Won</t>
  </si>
  <si>
    <t>Lost</t>
  </si>
  <si>
    <t>Scored</t>
  </si>
  <si>
    <t>Conceded</t>
  </si>
  <si>
    <t>Rage Quit</t>
  </si>
  <si>
    <t>ET</t>
  </si>
  <si>
    <t>Avg Goals</t>
  </si>
  <si>
    <t>Avg. Posession</t>
  </si>
  <si>
    <t>Max Win Streak</t>
  </si>
  <si>
    <t>Top Goals</t>
  </si>
  <si>
    <t>Top Contributions</t>
  </si>
  <si>
    <t>Top Assist</t>
  </si>
  <si>
    <t>Best Avg. Rating</t>
  </si>
  <si>
    <t>Most MOTM</t>
  </si>
  <si>
    <t>SQUAD 2</t>
  </si>
  <si>
    <t>Matches</t>
  </si>
  <si>
    <t>Wins</t>
  </si>
  <si>
    <t>Streak</t>
  </si>
  <si>
    <t>SpielID</t>
  </si>
  <si>
    <t>Spielkategorie</t>
  </si>
  <si>
    <t>Datum</t>
  </si>
  <si>
    <t>HeimT</t>
  </si>
  <si>
    <t>AuswärtsT</t>
  </si>
  <si>
    <t>Heim</t>
  </si>
  <si>
    <t>Auswärts</t>
  </si>
  <si>
    <t>Ergebnis</t>
  </si>
  <si>
    <t>Wo</t>
  </si>
  <si>
    <t>Ballbesitiz</t>
  </si>
  <si>
    <t>Schüsse</t>
  </si>
  <si>
    <t>Schusspräzision</t>
  </si>
  <si>
    <t>xGoals</t>
  </si>
  <si>
    <t>Pässe</t>
  </si>
  <si>
    <t>Erfolgreiche Pässe</t>
  </si>
  <si>
    <t>Erfolgreiche Dribblings</t>
  </si>
  <si>
    <t>Gelbe Karten</t>
  </si>
  <si>
    <t>Rote Karten</t>
  </si>
  <si>
    <t>Abbruchgrund</t>
  </si>
  <si>
    <t>Spieldauer</t>
  </si>
  <si>
    <t>CleanSheet</t>
  </si>
  <si>
    <t>Name</t>
  </si>
  <si>
    <t>Position</t>
  </si>
  <si>
    <t>Bewertung</t>
  </si>
  <si>
    <t>Tore</t>
  </si>
  <si>
    <t>Vorlagen</t>
  </si>
  <si>
    <t>Kommentar KI</t>
  </si>
  <si>
    <t>Spiel ID</t>
  </si>
  <si>
    <t>M. Essien</t>
  </si>
  <si>
    <t>G. Zola</t>
  </si>
  <si>
    <t>Spieltyp</t>
  </si>
  <si>
    <t>R. Costa</t>
  </si>
  <si>
    <t>M. Lacroix</t>
  </si>
  <si>
    <t>Verlängerung</t>
  </si>
  <si>
    <t>xGoalsOpp</t>
  </si>
  <si>
    <t>PässeOpp</t>
  </si>
  <si>
    <t>Erfolgreiche Pässe Opp</t>
  </si>
  <si>
    <t>SchüsseOpp</t>
  </si>
  <si>
    <t>SchusspräzisionOpp</t>
  </si>
  <si>
    <t>Draw</t>
  </si>
  <si>
    <t>Total</t>
  </si>
  <si>
    <t>Average</t>
  </si>
  <si>
    <t>xG</t>
  </si>
  <si>
    <t>For</t>
  </si>
  <si>
    <t>Against</t>
  </si>
  <si>
    <t>Passing</t>
  </si>
  <si>
    <t>Total per Game</t>
  </si>
  <si>
    <t>Pass %</t>
  </si>
  <si>
    <t>On Target %</t>
  </si>
  <si>
    <t>Shooting</t>
  </si>
  <si>
    <t>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</si>
</sst>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D2F1DA"/>
        <bgColor rgb="FFD2F1DA"/>
      </patternFill>
    </fill>
    <fill>
      <patternFill patternType="solid">
        <fgColor rgb="FFFF9900"/>
        <bgColor rgb="FFFF9900"/>
      </patternFill>
    </fill>
    <fill>
      <patternFill patternType="solid">
        <fgColor rgb="FFB4E4E8"/>
        <bgColor rgb="FFB4E4E8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6B3AE"/>
        <bgColor rgb="FFF6B3AE"/>
      </patternFill>
    </fill>
    <fill>
      <patternFill patternType="solid">
        <fgColor rgb="FFA4C2F4"/>
        <bgColor rgb="FFA4C2F4"/>
      </patternFill>
    </fill>
    <fill>
      <patternFill patternType="solid">
        <fgColor rgb="FF8FD7DC"/>
        <bgColor rgb="FF8FD7DC"/>
      </patternFill>
    </fill>
    <fill>
      <patternFill patternType="solid">
        <fgColor rgb="FFD9D9D9"/>
        <bgColor rgb="FFD9D9D9"/>
      </patternFill>
    </fill>
    <fill>
      <patternFill patternType="solid">
        <fgColor rgb="FFF28E85"/>
        <bgColor rgb="FFF28E85"/>
      </patternFill>
    </fill>
    <fill>
      <patternFill patternType="solid">
        <fgColor rgb="FF7AD592"/>
        <bgColor rgb="FF7AD592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theme="5"/>
      </patternFill>
    </fill>
    <fill>
      <patternFill patternType="solid">
        <fgColor rgb="FFEA7131"/>
        <bgColor rgb="FF7AD592"/>
      </patternFill>
    </fill>
    <fill>
      <patternFill patternType="solid">
        <fgColor rgb="FFEA7131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rgb="FF000000"/>
      </top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rgb="FF000000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/>
  </cellStyleXfs>
  <cellXfs count="89">
    <xf numFmtId="0" fontId="0" fillId="0" borderId="0" xfId="0"/>
    <xf numFmtId="0" fontId="2" fillId="0" borderId="0" xfId="0" applyFont="1"/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2" fontId="3" fillId="10" borderId="3" xfId="0" applyNumberFormat="1" applyFont="1" applyFill="1" applyBorder="1" applyAlignment="1">
      <alignment horizontal="center" vertical="center"/>
    </xf>
    <xf numFmtId="2" fontId="5" fillId="10" borderId="3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8" fillId="0" borderId="0" xfId="0" applyFont="1"/>
    <xf numFmtId="0" fontId="3" fillId="11" borderId="5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4" fillId="0" borderId="0" xfId="0" applyFont="1"/>
    <xf numFmtId="164" fontId="4" fillId="0" borderId="0" xfId="1" applyNumberFormat="1" applyFont="1"/>
    <xf numFmtId="0" fontId="2" fillId="0" borderId="12" xfId="0" applyFont="1" applyBorder="1"/>
    <xf numFmtId="0" fontId="3" fillId="14" borderId="5" xfId="0" applyFont="1" applyFill="1" applyBorder="1" applyAlignment="1">
      <alignment horizontal="center" vertical="center"/>
    </xf>
    <xf numFmtId="0" fontId="0" fillId="0" borderId="15" xfId="0" applyBorder="1"/>
    <xf numFmtId="0" fontId="3" fillId="12" borderId="10" xfId="0" applyFont="1" applyFill="1" applyBorder="1" applyAlignment="1">
      <alignment horizontal="left" vertical="center" indent="1"/>
    </xf>
    <xf numFmtId="0" fontId="3" fillId="12" borderId="10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right" vertical="center" indent="1"/>
    </xf>
    <xf numFmtId="0" fontId="3" fillId="12" borderId="11" xfId="0" applyFont="1" applyFill="1" applyBorder="1" applyAlignment="1">
      <alignment horizontal="right" vertical="center" indent="1"/>
    </xf>
    <xf numFmtId="0" fontId="3" fillId="12" borderId="22" xfId="0" applyFont="1" applyFill="1" applyBorder="1" applyAlignment="1">
      <alignment horizontal="right" vertical="center" indent="1"/>
    </xf>
    <xf numFmtId="0" fontId="3" fillId="12" borderId="22" xfId="0" applyFont="1" applyFill="1" applyBorder="1" applyAlignment="1">
      <alignment horizontal="left" vertical="center" indent="1"/>
    </xf>
    <xf numFmtId="0" fontId="3" fillId="12" borderId="22" xfId="0" applyFont="1" applyFill="1" applyBorder="1" applyAlignment="1">
      <alignment horizontal="center" vertical="center"/>
    </xf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7" xfId="0" applyFont="1" applyBorder="1"/>
    <xf numFmtId="0" fontId="3" fillId="11" borderId="28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38" xfId="0" applyFont="1" applyFill="1" applyBorder="1" applyAlignment="1">
      <alignment horizontal="center" vertical="center"/>
    </xf>
    <xf numFmtId="0" fontId="3" fillId="12" borderId="25" xfId="0" applyFont="1" applyFill="1" applyBorder="1" applyAlignment="1">
      <alignment horizontal="center" vertical="center"/>
    </xf>
    <xf numFmtId="0" fontId="3" fillId="12" borderId="41" xfId="0" applyFont="1" applyFill="1" applyBorder="1" applyAlignment="1">
      <alignment horizontal="center" vertical="center"/>
    </xf>
    <xf numFmtId="2" fontId="3" fillId="12" borderId="36" xfId="0" applyNumberFormat="1" applyFont="1" applyFill="1" applyBorder="1" applyAlignment="1">
      <alignment horizontal="center" vertical="center"/>
    </xf>
    <xf numFmtId="2" fontId="3" fillId="12" borderId="37" xfId="0" applyNumberFormat="1" applyFont="1" applyFill="1" applyBorder="1" applyAlignment="1">
      <alignment horizontal="center" vertical="center"/>
    </xf>
    <xf numFmtId="2" fontId="3" fillId="15" borderId="35" xfId="0" applyNumberFormat="1" applyFont="1" applyFill="1" applyBorder="1" applyAlignment="1">
      <alignment horizontal="center" vertical="center"/>
    </xf>
    <xf numFmtId="2" fontId="3" fillId="15" borderId="29" xfId="0" applyNumberFormat="1" applyFont="1" applyFill="1" applyBorder="1" applyAlignment="1">
      <alignment horizontal="center" vertical="center"/>
    </xf>
    <xf numFmtId="1" fontId="3" fillId="12" borderId="36" xfId="0" applyNumberFormat="1" applyFont="1" applyFill="1" applyBorder="1" applyAlignment="1">
      <alignment horizontal="center" vertical="center"/>
    </xf>
    <xf numFmtId="1" fontId="3" fillId="15" borderId="35" xfId="0" applyNumberFormat="1" applyFont="1" applyFill="1" applyBorder="1" applyAlignment="1">
      <alignment horizontal="center" vertical="center"/>
    </xf>
    <xf numFmtId="164" fontId="3" fillId="12" borderId="37" xfId="0" applyNumberFormat="1" applyFont="1" applyFill="1" applyBorder="1" applyAlignment="1">
      <alignment horizontal="center" vertical="center"/>
    </xf>
    <xf numFmtId="164" fontId="3" fillId="15" borderId="29" xfId="0" applyNumberFormat="1" applyFont="1" applyFill="1" applyBorder="1" applyAlignment="1">
      <alignment horizontal="center" vertical="center"/>
    </xf>
    <xf numFmtId="2" fontId="3" fillId="12" borderId="7" xfId="0" applyNumberFormat="1" applyFont="1" applyFill="1" applyBorder="1" applyAlignment="1">
      <alignment horizontal="center" vertical="center"/>
    </xf>
    <xf numFmtId="0" fontId="0" fillId="0" borderId="7" xfId="0" applyBorder="1"/>
    <xf numFmtId="0" fontId="3" fillId="10" borderId="3" xfId="0" applyFont="1" applyFill="1" applyBorder="1" applyAlignment="1">
      <alignment horizontal="left" vertical="center"/>
    </xf>
    <xf numFmtId="0" fontId="0" fillId="0" borderId="2" xfId="0" applyBorder="1"/>
    <xf numFmtId="1" fontId="3" fillId="12" borderId="5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/>
    <xf numFmtId="2" fontId="7" fillId="12" borderId="5" xfId="0" applyNumberFormat="1" applyFont="1" applyFill="1" applyBorder="1" applyAlignment="1">
      <alignment horizontal="center" vertical="center"/>
    </xf>
    <xf numFmtId="0" fontId="6" fillId="11" borderId="20" xfId="0" applyFont="1" applyFill="1" applyBorder="1" applyAlignment="1">
      <alignment horizontal="center" vertical="center" wrapText="1"/>
    </xf>
    <xf numFmtId="0" fontId="0" fillId="0" borderId="17" xfId="0" applyBorder="1"/>
    <xf numFmtId="0" fontId="7" fillId="13" borderId="5" xfId="0" applyFont="1" applyFill="1" applyBorder="1" applyAlignment="1">
      <alignment horizontal="center" vertical="center"/>
    </xf>
    <xf numFmtId="2" fontId="7" fillId="13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7" fillId="12" borderId="5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0" fontId="0" fillId="0" borderId="14" xfId="0" applyBorder="1"/>
    <xf numFmtId="0" fontId="3" fillId="11" borderId="5" xfId="0" applyFont="1" applyFill="1" applyBorder="1" applyAlignment="1">
      <alignment horizontal="center" vertical="center"/>
    </xf>
    <xf numFmtId="0" fontId="6" fillId="11" borderId="19" xfId="0" applyFont="1" applyFill="1" applyBorder="1" applyAlignment="1">
      <alignment horizontal="center" vertical="center" wrapText="1"/>
    </xf>
    <xf numFmtId="0" fontId="0" fillId="0" borderId="16" xfId="0" applyBorder="1"/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4" xfId="0" applyBorder="1"/>
    <xf numFmtId="164" fontId="3" fillId="12" borderId="21" xfId="1" applyNumberFormat="1" applyFont="1" applyFill="1" applyBorder="1" applyAlignment="1">
      <alignment horizontal="center" vertical="center"/>
    </xf>
    <xf numFmtId="0" fontId="0" fillId="0" borderId="18" xfId="0" applyBorder="1"/>
    <xf numFmtId="1" fontId="3" fillId="12" borderId="19" xfId="0" applyNumberFormat="1" applyFont="1" applyFill="1" applyBorder="1" applyAlignment="1">
      <alignment horizontal="center" vertical="center"/>
    </xf>
    <xf numFmtId="1" fontId="0" fillId="0" borderId="16" xfId="0" applyNumberFormat="1" applyBorder="1"/>
    <xf numFmtId="0" fontId="3" fillId="10" borderId="23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3" fillId="11" borderId="39" xfId="0" applyFont="1" applyFill="1" applyBorder="1" applyAlignment="1">
      <alignment horizontal="center" vertical="center" wrapText="1"/>
    </xf>
    <xf numFmtId="0" fontId="0" fillId="0" borderId="40" xfId="0" applyBorder="1" applyAlignment="1">
      <alignment wrapText="1"/>
    </xf>
    <xf numFmtId="0" fontId="0" fillId="0" borderId="25" xfId="0" applyBorder="1"/>
    <xf numFmtId="0" fontId="3" fillId="11" borderId="2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12" borderId="31" xfId="0" applyFont="1" applyFill="1" applyBorder="1" applyAlignment="1">
      <alignment horizontal="center" vertical="center" wrapText="1"/>
    </xf>
    <xf numFmtId="0" fontId="0" fillId="0" borderId="32" xfId="0" applyBorder="1" applyAlignment="1">
      <alignment wrapText="1"/>
    </xf>
    <xf numFmtId="1" fontId="3" fillId="15" borderId="33" xfId="0" applyNumberFormat="1" applyFont="1" applyFill="1" applyBorder="1" applyAlignment="1">
      <alignment horizontal="center" vertical="center" wrapText="1"/>
    </xf>
    <xf numFmtId="0" fontId="0" fillId="16" borderId="34" xfId="0" applyFill="1" applyBorder="1" applyAlignment="1">
      <alignment wrapText="1"/>
    </xf>
  </cellXfs>
  <cellStyles count="2">
    <cellStyle name="Prozent" xfId="1" builtinId="5"/>
    <cellStyle name="Standard" xfId="0" builtinId="0"/>
  </cellStyles>
  <dxfs count="9">
    <dxf>
      <fill>
        <patternFill patternType="solid">
          <fgColor theme="8"/>
          <bgColor theme="8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>
          <bgColor rgb="FFEA7131"/>
        </patternFill>
      </fill>
    </dxf>
    <dxf>
      <fill>
        <patternFill>
          <bgColor rgb="FFFFC000"/>
        </patternFill>
      </fill>
    </dxf>
    <dxf>
      <fill>
        <patternFill patternType="solid">
          <fgColor rgb="FFBC8D03"/>
          <bgColor rgb="FFBC8D03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colors>
    <mruColors>
      <color rgb="FFEA7131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>
      <selection activeCell="K8" sqref="K8"/>
    </sheetView>
  </sheetViews>
  <sheetFormatPr baseColWidth="10" defaultRowHeight="16" x14ac:dyDescent="0.2"/>
  <cols>
    <col min="2" max="9" width="12.83203125" customWidth="1"/>
    <col min="11" max="11" width="15.33203125" bestFit="1" customWidth="1"/>
    <col min="12" max="12" width="29.5" customWidth="1"/>
    <col min="15" max="15" width="24.83203125" customWidth="1"/>
  </cols>
  <sheetData>
    <row r="1" spans="1:12" ht="17" customHeight="1" thickBo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12" ht="17" customHeight="1" thickBot="1" x14ac:dyDescent="0.25">
      <c r="A2" s="1"/>
      <c r="B2" s="55" t="s">
        <v>0</v>
      </c>
      <c r="C2" s="56"/>
      <c r="D2" s="56"/>
      <c r="E2" s="56"/>
      <c r="F2" s="56"/>
      <c r="G2" s="56"/>
      <c r="H2" s="56"/>
      <c r="I2" s="51"/>
    </row>
    <row r="3" spans="1:12" ht="17" customHeight="1" thickBot="1" x14ac:dyDescent="0.25">
      <c r="A3" s="1"/>
      <c r="B3" s="54" t="s">
        <v>1</v>
      </c>
      <c r="C3" s="51"/>
      <c r="D3" s="2" t="s">
        <v>2</v>
      </c>
      <c r="E3" s="3" t="s">
        <v>3</v>
      </c>
      <c r="F3" s="4" t="s">
        <v>4</v>
      </c>
      <c r="G3" s="5" t="s">
        <v>5</v>
      </c>
      <c r="H3" s="6" t="s">
        <v>6</v>
      </c>
      <c r="I3" s="7" t="s">
        <v>7</v>
      </c>
    </row>
    <row r="4" spans="1:12" ht="17" customHeight="1" thickBot="1" x14ac:dyDescent="0.25">
      <c r="A4" s="1"/>
      <c r="B4" s="50" t="s">
        <v>8</v>
      </c>
      <c r="C4" s="51"/>
      <c r="D4" s="8">
        <f>COUNTIFS(
DataSpieler!C:C, $B4,
DataSpieler!E:E, "&gt;0",
DataSpieler!B:B, IF(LOWER($L$5)="alle", "*", $L$5)
)</f>
        <v>0</v>
      </c>
      <c r="E4" s="9">
        <f>SUMIFS(DataSpieler!F:F, DataSpieler!C:C, B4, DataSpieler!B:B, IF(LOWER($L$5)="alle","*", $L$5))</f>
        <v>0</v>
      </c>
      <c r="F4" s="9">
        <f>SUMIFS(DataSpieler!G:G, DataSpieler!C:C, B4, DataSpieler!B:B, IF(LOWER($L$5)="alle","*", $L$5))</f>
        <v>0</v>
      </c>
      <c r="G4" s="9">
        <f t="shared" ref="G4:G14" si="0">E4+F4</f>
        <v>0</v>
      </c>
      <c r="H4" s="9">
        <f>COUNTIFS(DataSpieler!C:C, B4, DataSpieler!H:H,"x", DataSpieler!B:B, IF(LOWER($L$5)="alle","*", $L$5))</f>
        <v>0</v>
      </c>
      <c r="I4" s="10" t="str">
        <f>IFERROR(AVERAGEIFS(DataSpieler!E:E, DataSpieler!C:C, B4, DataSpieler!B:B, IF(LOWER($L$5)="alle","*", $L$5)), "")</f>
        <v/>
      </c>
    </row>
    <row r="5" spans="1:12" ht="17" customHeight="1" thickBot="1" x14ac:dyDescent="0.25">
      <c r="A5" s="1"/>
      <c r="B5" s="50" t="s">
        <v>9</v>
      </c>
      <c r="C5" s="51"/>
      <c r="D5" s="8">
        <f>COUNTIFS(
DataSpieler!C:C, $B5,
DataSpieler!E:E, "&gt;0",
DataSpieler!B:B, IF(LOWER($L$5)="alle", "*", $L$5)
)</f>
        <v>0</v>
      </c>
      <c r="E5" s="9">
        <f>SUMIFS(DataSpieler!F:F, DataSpieler!C:C, B5, DataSpieler!B:B, IF(LOWER($L$5)="alle","*", $L$5))</f>
        <v>0</v>
      </c>
      <c r="F5" s="9">
        <f>SUMIFS(DataSpieler!G:G, DataSpieler!C:C, B5, DataSpieler!B:B, IF(LOWER($L$5)="alle","*", $L$5))</f>
        <v>0</v>
      </c>
      <c r="G5" s="9">
        <f t="shared" si="0"/>
        <v>0</v>
      </c>
      <c r="H5" s="9">
        <f>COUNTIFS(DataSpieler!C:C, B5, DataSpieler!H:H,"x", DataSpieler!B:B, IF(LOWER($L$5)="alle","*", $L$5))</f>
        <v>0</v>
      </c>
      <c r="I5" s="10" t="str">
        <f>IFERROR(AVERAGEIFS(DataSpieler!E:E, DataSpieler!C:C, B5, DataSpieler!B:B, IF(LOWER($L$5)="alle","*", $L$5)), "")</f>
        <v/>
      </c>
      <c r="K5" t="s">
        <v>78</v>
      </c>
      <c r="L5" t="s">
        <v>98</v>
      </c>
    </row>
    <row r="6" spans="1:12" ht="17" customHeight="1" thickBot="1" x14ac:dyDescent="0.25">
      <c r="A6" s="1"/>
      <c r="B6" s="50" t="s">
        <v>79</v>
      </c>
      <c r="C6" s="51"/>
      <c r="D6" s="8">
        <f>COUNTIFS(
DataSpieler!C:C, $B6,
DataSpieler!E:E, "&gt;0",
DataSpieler!B:B, IF(LOWER($L$5)="alle", "*", $L$5)
)</f>
        <v>0</v>
      </c>
      <c r="E6" s="9">
        <f>SUMIFS(DataSpieler!F:F, DataSpieler!C:C, B6, DataSpieler!B:B, IF(LOWER($L$5)="alle","*", $L$5))</f>
        <v>0</v>
      </c>
      <c r="F6" s="9">
        <f>SUMIFS(DataSpieler!G:G, DataSpieler!C:C, B6, DataSpieler!B:B, IF(LOWER($L$5)="alle","*", $L$5))</f>
        <v>0</v>
      </c>
      <c r="G6" s="9">
        <f t="shared" si="0"/>
        <v>0</v>
      </c>
      <c r="H6" s="9">
        <f>COUNTIFS(DataSpieler!C:C, B6, DataSpieler!H:H,"x", DataSpieler!B:B, IF(LOWER($L$5)="alle","*", $L$5))</f>
        <v>0</v>
      </c>
      <c r="I6" s="11" t="str">
        <f>IFERROR(AVERAGEIFS(DataSpieler!E:E, DataSpieler!C:C, B6, DataSpieler!B:B, IF(LOWER($L$5)="alle","*", $L$5)), "")</f>
        <v/>
      </c>
    </row>
    <row r="7" spans="1:12" ht="17" customHeight="1" thickBot="1" x14ac:dyDescent="0.25">
      <c r="A7" s="1"/>
      <c r="B7" s="50" t="s">
        <v>10</v>
      </c>
      <c r="C7" s="51"/>
      <c r="D7" s="8">
        <f>COUNTIFS(
DataSpieler!C:C, $B7,
DataSpieler!E:E, "&gt;0",
DataSpieler!B:B, IF(LOWER($L$5)="alle", "*", $L$5)
)</f>
        <v>0</v>
      </c>
      <c r="E7" s="9">
        <f>SUMIFS(DataSpieler!F:F, DataSpieler!C:C, B7, DataSpieler!B:B, IF(LOWER($L$5)="alle","*", $L$5))</f>
        <v>0</v>
      </c>
      <c r="F7" s="9">
        <f>SUMIFS(DataSpieler!G:G, DataSpieler!C:C, B7, DataSpieler!B:B, IF(LOWER($L$5)="alle","*", $L$5))</f>
        <v>0</v>
      </c>
      <c r="G7" s="9">
        <f t="shared" si="0"/>
        <v>0</v>
      </c>
      <c r="H7" s="9">
        <f>COUNTIFS(DataSpieler!C:C, B7, DataSpieler!H:H,"x", DataSpieler!B:B, IF(LOWER($L$5)="alle","*", $L$5))</f>
        <v>0</v>
      </c>
      <c r="I7" s="11" t="str">
        <f>IFERROR(AVERAGEIFS(DataSpieler!E:E, DataSpieler!C:C, B7, DataSpieler!B:B, IF(LOWER($L$5)="alle","*", $L$5)), "")</f>
        <v/>
      </c>
    </row>
    <row r="8" spans="1:12" ht="17" customHeight="1" thickBot="1" x14ac:dyDescent="0.25">
      <c r="A8" s="1"/>
      <c r="B8" s="50" t="s">
        <v>11</v>
      </c>
      <c r="C8" s="51"/>
      <c r="D8" s="8">
        <f>COUNTIFS(
DataSpieler!C:C, $B8,
DataSpieler!E:E, "&gt;0",
DataSpieler!B:B, IF(LOWER($L$5)="alle", "*", $L$5)
)</f>
        <v>0</v>
      </c>
      <c r="E8" s="9">
        <f>SUMIFS(DataSpieler!F:F, DataSpieler!C:C, B8, DataSpieler!B:B, IF(LOWER($L$5)="alle","*", $L$5))</f>
        <v>0</v>
      </c>
      <c r="F8" s="9">
        <f>SUMIFS(DataSpieler!G:G, DataSpieler!C:C, B8, DataSpieler!B:B, IF(LOWER($L$5)="alle","*", $L$5))</f>
        <v>0</v>
      </c>
      <c r="G8" s="9">
        <f t="shared" si="0"/>
        <v>0</v>
      </c>
      <c r="H8" s="9">
        <f>COUNTIFS(DataSpieler!C:C, B8, DataSpieler!H:H,"x", DataSpieler!B:B, IF(LOWER($L$5)="alle","*", $L$5))</f>
        <v>0</v>
      </c>
      <c r="I8" s="11" t="str">
        <f>IFERROR(AVERAGEIFS(DataSpieler!E:E, DataSpieler!C:C, B8, DataSpieler!B:B, IF(LOWER($L$5)="alle","*", $L$5)), "")</f>
        <v/>
      </c>
    </row>
    <row r="9" spans="1:12" ht="17" customHeight="1" thickBot="1" x14ac:dyDescent="0.25">
      <c r="A9" s="1"/>
      <c r="B9" s="78" t="s">
        <v>76</v>
      </c>
      <c r="C9" s="79"/>
      <c r="D9" s="8">
        <f>COUNTIFS(
DataSpieler!C:C, $B9,
DataSpieler!E:E, "&gt;0",
DataSpieler!B:B, IF(LOWER($L$5)="alle", "*", $L$5)
)</f>
        <v>0</v>
      </c>
      <c r="E9" s="9">
        <f>SUMIFS(DataSpieler!F:F, DataSpieler!C:C, B9, DataSpieler!B:B, IF(LOWER($L$5)="alle","*", $L$5))</f>
        <v>0</v>
      </c>
      <c r="F9" s="9">
        <f>SUMIFS(DataSpieler!G:G, DataSpieler!C:C, B9, DataSpieler!B:B, IF(LOWER($L$5)="alle","*", $L$5))</f>
        <v>0</v>
      </c>
      <c r="G9" s="9">
        <f t="shared" si="0"/>
        <v>0</v>
      </c>
      <c r="H9" s="9">
        <f>COUNTIFS(DataSpieler!C:C, B9, DataSpieler!H:H,"x", DataSpieler!B:B, IF(LOWER($L$5)="alle","*", $L$5))</f>
        <v>0</v>
      </c>
      <c r="I9" s="11" t="str">
        <f>IFERROR(AVERAGEIFS(DataSpieler!E:E, DataSpieler!C:C, B9, DataSpieler!B:B, IF(LOWER($L$5)="alle","*", $L$5)), "")</f>
        <v/>
      </c>
    </row>
    <row r="10" spans="1:12" ht="17" customHeight="1" thickBot="1" x14ac:dyDescent="0.25">
      <c r="A10" s="1"/>
      <c r="B10" s="50" t="s">
        <v>13</v>
      </c>
      <c r="C10" s="51"/>
      <c r="D10" s="8">
        <f>COUNTIFS(
DataSpieler!C:C, $B10,
DataSpieler!E:E, "&gt;0",
DataSpieler!B:B, IF(LOWER($L$5)="alle", "*", $L$5)
)</f>
        <v>0</v>
      </c>
      <c r="E10" s="9">
        <f>SUMIFS(DataSpieler!F:F, DataSpieler!C:C, B10, DataSpieler!B:B, IF(LOWER($L$5)="alle","*", $L$5))</f>
        <v>0</v>
      </c>
      <c r="F10" s="9">
        <f>SUMIFS(DataSpieler!G:G, DataSpieler!C:C, B10, DataSpieler!B:B, IF(LOWER($L$5)="alle","*", $L$5))</f>
        <v>0</v>
      </c>
      <c r="G10" s="9">
        <f t="shared" si="0"/>
        <v>0</v>
      </c>
      <c r="H10" s="9">
        <f>COUNTIFS(DataSpieler!C:C, B10, DataSpieler!H:H,"x", DataSpieler!B:B, IF(LOWER($L$5)="alle","*", $L$5))</f>
        <v>0</v>
      </c>
      <c r="I10" s="11" t="str">
        <f>IFERROR(AVERAGEIFS(DataSpieler!E:E, DataSpieler!C:C, B10, DataSpieler!B:B, IF(LOWER($L$5)="alle","*", $L$5)), "")</f>
        <v/>
      </c>
    </row>
    <row r="11" spans="1:12" ht="17" customHeight="1" thickBot="1" x14ac:dyDescent="0.25">
      <c r="A11" s="1"/>
      <c r="B11" s="50" t="s">
        <v>80</v>
      </c>
      <c r="C11" s="51"/>
      <c r="D11" s="8">
        <f>COUNTIFS(
DataSpieler!C:C, $B11,
DataSpieler!E:E, "&gt;0",
DataSpieler!B:B, IF(LOWER($L$5)="alle", "*", $L$5)
)</f>
        <v>0</v>
      </c>
      <c r="E11" s="9">
        <f>SUMIFS(DataSpieler!F:F, DataSpieler!C:C, B11, DataSpieler!B:B, IF(LOWER($L$5)="alle","*", $L$5))</f>
        <v>0</v>
      </c>
      <c r="F11" s="9">
        <f>SUMIFS(DataSpieler!G:G, DataSpieler!C:C, B11, DataSpieler!B:B, IF(LOWER($L$5)="alle","*", $L$5))</f>
        <v>0</v>
      </c>
      <c r="G11" s="9">
        <f t="shared" si="0"/>
        <v>0</v>
      </c>
      <c r="H11" s="9">
        <f>COUNTIFS(DataSpieler!C:C, B11, DataSpieler!H:H,"x", DataSpieler!B:B, IF(LOWER($L$5)="alle","*", $L$5))</f>
        <v>0</v>
      </c>
      <c r="I11" s="11" t="str">
        <f>IFERROR(AVERAGEIFS(DataSpieler!E:E, DataSpieler!C:C, B11, DataSpieler!B:B, IF(LOWER($L$5)="alle","*", $L$5)), "")</f>
        <v/>
      </c>
    </row>
    <row r="12" spans="1:12" ht="17" customHeight="1" thickBot="1" x14ac:dyDescent="0.25">
      <c r="A12" s="1"/>
      <c r="B12" s="50" t="s">
        <v>14</v>
      </c>
      <c r="C12" s="51"/>
      <c r="D12" s="8">
        <f>COUNTIFS(
DataSpieler!C:C, $B12,
DataSpieler!E:E, "&gt;0",
DataSpieler!B:B, IF(LOWER($L$5)="alle", "*", $L$5)
)</f>
        <v>0</v>
      </c>
      <c r="E12" s="9">
        <f>SUMIFS(DataSpieler!F:F, DataSpieler!C:C, B12, DataSpieler!B:B, IF(LOWER($L$5)="alle","*", $L$5))</f>
        <v>0</v>
      </c>
      <c r="F12" s="9">
        <f>SUMIFS(DataSpieler!G:G, DataSpieler!C:C, B12, DataSpieler!B:B, IF(LOWER($L$5)="alle","*", $L$5))</f>
        <v>0</v>
      </c>
      <c r="G12" s="9">
        <f t="shared" si="0"/>
        <v>0</v>
      </c>
      <c r="H12" s="9">
        <f>COUNTIFS(DataSpieler!C:C, B12, DataSpieler!H:H,"x", DataSpieler!B:B, IF(LOWER($L$5)="alle","*", $L$5))</f>
        <v>0</v>
      </c>
      <c r="I12" s="11" t="str">
        <f>IFERROR(AVERAGEIFS(DataSpieler!E:E, DataSpieler!C:C, B12, DataSpieler!B:B, IF(LOWER($L$5)="alle","*", $L$5)), "")</f>
        <v/>
      </c>
    </row>
    <row r="13" spans="1:12" ht="17" customHeight="1" thickBot="1" x14ac:dyDescent="0.25">
      <c r="A13" s="1"/>
      <c r="B13" s="50" t="s">
        <v>15</v>
      </c>
      <c r="C13" s="51"/>
      <c r="D13" s="8">
        <f>COUNTIFS(
DataSpieler!C:C, $B13,
DataSpieler!E:E, "&gt;0",
DataSpieler!B:B, IF(LOWER($L$5)="alle", "*", $L$5)
)</f>
        <v>0</v>
      </c>
      <c r="E13" s="9">
        <f>SUMIFS(DataSpieler!F:F, DataSpieler!C:C, B13, DataSpieler!B:B, IF(LOWER($L$5)="alle","*", $L$5))</f>
        <v>0</v>
      </c>
      <c r="F13" s="9">
        <f>SUMIFS(DataSpieler!G:G, DataSpieler!C:C, B13, DataSpieler!B:B, IF(LOWER($L$5)="alle","*", $L$5))</f>
        <v>0</v>
      </c>
      <c r="G13" s="9">
        <f t="shared" si="0"/>
        <v>0</v>
      </c>
      <c r="H13" s="9">
        <f>COUNTIFS(DataSpieler!C:C, B13, DataSpieler!H:H,"x", DataSpieler!B:B, IF(LOWER($L$5)="alle","*", $L$5))</f>
        <v>0</v>
      </c>
      <c r="I13" s="11" t="str">
        <f>IFERROR(AVERAGEIFS(DataSpieler!E:E, DataSpieler!C:C, B13, DataSpieler!B:B, IF(LOWER($L$5)="alle","*", $L$5)), "")</f>
        <v/>
      </c>
    </row>
    <row r="14" spans="1:12" ht="17" customHeight="1" thickBot="1" x14ac:dyDescent="0.25">
      <c r="A14" s="1"/>
      <c r="B14" s="50" t="s">
        <v>16</v>
      </c>
      <c r="C14" s="51"/>
      <c r="D14" s="8">
        <f>COUNTIFS(
DataSpieler!C:C, $B14,
DataSpieler!E:E, "&gt;0",
DataSpieler!B:B, IF(LOWER($L$5)="alle", "*", $L$5)
)</f>
        <v>0</v>
      </c>
      <c r="E14" s="9">
        <f>SUMIFS(DataSpieler!F:F, DataSpieler!C:C, B14, DataSpieler!B:B, IF(LOWER($L$5)="alle","*", $L$5))</f>
        <v>0</v>
      </c>
      <c r="F14" s="9">
        <f>SUMIFS(DataSpieler!G:G, DataSpieler!C:C, B14, DataSpieler!B:B, IF(LOWER($L$5)="alle","*", $L$5))</f>
        <v>0</v>
      </c>
      <c r="G14" s="9">
        <f t="shared" si="0"/>
        <v>0</v>
      </c>
      <c r="H14" s="9">
        <f>COUNTIFS(DataSpieler!C:C, B14, DataSpieler!H:H,"x", DataSpieler!B:B, IF(LOWER($L$5)="alle","*", $L$5))</f>
        <v>0</v>
      </c>
      <c r="I14" s="11" t="str">
        <f>IFERROR(AVERAGEIFS(DataSpieler!E:E, DataSpieler!C:C, B14, DataSpieler!B:B, IF(LOWER($L$5)="alle","*", $L$5)), "")</f>
        <v/>
      </c>
    </row>
    <row r="15" spans="1:12" ht="17" customHeight="1" thickBot="1" x14ac:dyDescent="0.25">
      <c r="A15" s="1"/>
      <c r="B15" s="54" t="s">
        <v>17</v>
      </c>
      <c r="C15" s="51"/>
      <c r="D15" s="2" t="s">
        <v>2</v>
      </c>
      <c r="E15" s="3" t="s">
        <v>3</v>
      </c>
      <c r="F15" s="4" t="s">
        <v>4</v>
      </c>
      <c r="G15" s="5" t="s">
        <v>5</v>
      </c>
      <c r="H15" s="6" t="s">
        <v>6</v>
      </c>
      <c r="I15" s="7" t="s">
        <v>7</v>
      </c>
    </row>
    <row r="16" spans="1:12" ht="17" customHeight="1" thickBot="1" x14ac:dyDescent="0.25">
      <c r="A16" s="1"/>
      <c r="B16" s="50" t="s">
        <v>18</v>
      </c>
      <c r="C16" s="51"/>
      <c r="D16" s="8">
        <f>COUNTIFS(
DataSpieler!C:C, $B16,
DataSpieler!E:E, "&gt;0",
DataSpieler!B:B, IF(LOWER($L$5)="alle", "*", $L$5)
)</f>
        <v>0</v>
      </c>
      <c r="E16" s="9">
        <f>SUMIFS(DataSpieler!F:F, DataSpieler!C:C, B16, DataSpieler!B:B, IF(LOWER($L$5)="alle","*", $L$5))</f>
        <v>0</v>
      </c>
      <c r="F16" s="9">
        <f>SUMIFS(DataSpieler!G:G, DataSpieler!C:C, B16, DataSpieler!B:B, IF(LOWER($L$5)="alle","*", $L$5))</f>
        <v>0</v>
      </c>
      <c r="G16" s="9">
        <f t="shared" ref="G16:G22" si="1">E16+F16</f>
        <v>0</v>
      </c>
      <c r="H16" s="9">
        <f>COUNTIFS(DataSpieler!C:C, B16, DataSpieler!H:H,"x", DataSpieler!B:B, IF(LOWER($L$5)="alle","*", $L$5))</f>
        <v>0</v>
      </c>
      <c r="I16" s="11" t="str">
        <f>IFERROR(AVERAGEIFS(DataSpieler!E:E, DataSpieler!C:C, B16, DataSpieler!B:B, IF(LOWER($L$5)="alle","*", $L$5)), "")</f>
        <v/>
      </c>
    </row>
    <row r="17" spans="1:9" ht="17" customHeight="1" thickBot="1" x14ac:dyDescent="0.25">
      <c r="A17" s="1"/>
      <c r="B17" s="50" t="s">
        <v>19</v>
      </c>
      <c r="C17" s="51"/>
      <c r="D17" s="8">
        <f>COUNTIFS(
DataSpieler!C:C, $B17,
DataSpieler!E:E, "&gt;0",
DataSpieler!B:B, IF(LOWER($L$5)="alle", "*", $L$5)
)</f>
        <v>0</v>
      </c>
      <c r="E17" s="9">
        <f>SUMIFS(DataSpieler!F:F, DataSpieler!C:C, B17, DataSpieler!B:B, IF(LOWER($L$5)="alle","*", $L$5))</f>
        <v>0</v>
      </c>
      <c r="F17" s="9">
        <f>SUMIFS(DataSpieler!G:G, DataSpieler!C:C, B17, DataSpieler!B:B, IF(LOWER($L$5)="alle","*", $L$5))</f>
        <v>0</v>
      </c>
      <c r="G17" s="9">
        <f t="shared" si="1"/>
        <v>0</v>
      </c>
      <c r="H17" s="9">
        <f>COUNTIFS(DataSpieler!C:C, B17, DataSpieler!H:H,"x", DataSpieler!B:B, IF(LOWER($L$5)="alle","*", $L$5))</f>
        <v>0</v>
      </c>
      <c r="I17" s="11" t="str">
        <f>IFERROR(AVERAGEIFS(DataSpieler!E:E, DataSpieler!C:C, B17, DataSpieler!B:B, IF(LOWER($L$5)="alle","*", $L$5)), "")</f>
        <v/>
      </c>
    </row>
    <row r="18" spans="1:9" ht="17" customHeight="1" thickBot="1" x14ac:dyDescent="0.25">
      <c r="A18" s="1"/>
      <c r="B18" s="50" t="s">
        <v>20</v>
      </c>
      <c r="C18" s="51"/>
      <c r="D18" s="8">
        <f>COUNTIFS(
DataSpieler!C:C, $B18,
DataSpieler!E:E, "&gt;0",
DataSpieler!B:B, IF(LOWER($L$5)="alle", "*", $L$5)
)</f>
        <v>0</v>
      </c>
      <c r="E18" s="9">
        <f>SUMIFS(DataSpieler!F:F, DataSpieler!C:C, B18, DataSpieler!B:B, IF(LOWER($L$5)="alle","*", $L$5))</f>
        <v>0</v>
      </c>
      <c r="F18" s="9">
        <f>SUMIFS(DataSpieler!G:G, DataSpieler!C:C, B18, DataSpieler!B:B, IF(LOWER($L$5)="alle","*", $L$5))</f>
        <v>0</v>
      </c>
      <c r="G18" s="9">
        <f t="shared" si="1"/>
        <v>0</v>
      </c>
      <c r="H18" s="9">
        <f>COUNTIFS(DataSpieler!C:C, B18, DataSpieler!H:H,"x", DataSpieler!B:B, IF(LOWER($L$5)="alle","*", $L$5))</f>
        <v>0</v>
      </c>
      <c r="I18" s="11" t="str">
        <f>IFERROR(AVERAGEIFS(DataSpieler!E:E, DataSpieler!C:C, B18, DataSpieler!B:B, IF(LOWER($L$5)="alle","*", $L$5)), "")</f>
        <v/>
      </c>
    </row>
    <row r="19" spans="1:9" ht="17" customHeight="1" thickBot="1" x14ac:dyDescent="0.25">
      <c r="A19" s="1"/>
      <c r="B19" s="50" t="s">
        <v>21</v>
      </c>
      <c r="C19" s="51"/>
      <c r="D19" s="8">
        <f>COUNTIFS(
DataSpieler!C:C, $B19,
DataSpieler!E:E, "&gt;0",
DataSpieler!B:B, IF(LOWER($L$5)="alle", "*", $L$5)
)</f>
        <v>0</v>
      </c>
      <c r="E19" s="9">
        <f>SUMIFS(DataSpieler!F:F, DataSpieler!C:C, B19, DataSpieler!B:B, IF(LOWER($L$5)="alle","*", $L$5))</f>
        <v>0</v>
      </c>
      <c r="F19" s="9">
        <f>SUMIFS(DataSpieler!G:G, DataSpieler!C:C, B19, DataSpieler!B:B, IF(LOWER($L$5)="alle","*", $L$5))</f>
        <v>0</v>
      </c>
      <c r="G19" s="9">
        <f t="shared" si="1"/>
        <v>0</v>
      </c>
      <c r="H19" s="9">
        <f>COUNTIFS(DataSpieler!C:C, B19, DataSpieler!H:H,"x", DataSpieler!B:B, IF(LOWER($L$5)="alle","*", $L$5))</f>
        <v>0</v>
      </c>
      <c r="I19" s="11" t="str">
        <f>IFERROR(AVERAGEIFS(DataSpieler!E:E, DataSpieler!C:C, B19, DataSpieler!B:B, IF(LOWER($L$5)="alle","*", $L$5)), "")</f>
        <v/>
      </c>
    </row>
    <row r="20" spans="1:9" ht="17" customHeight="1" thickBot="1" x14ac:dyDescent="0.25">
      <c r="A20" s="1"/>
      <c r="B20" s="50" t="s">
        <v>22</v>
      </c>
      <c r="C20" s="51"/>
      <c r="D20" s="8">
        <f>COUNTIFS(
DataSpieler!C:C, $B20,
DataSpieler!E:E, "&gt;0",
DataSpieler!B:B, IF(LOWER($L$5)="alle", "*", $L$5)
)</f>
        <v>0</v>
      </c>
      <c r="E20" s="9">
        <f>SUMIFS(DataSpieler!F:F, DataSpieler!C:C, B20, DataSpieler!B:B, IF(LOWER($L$5)="alle","*", $L$5))</f>
        <v>0</v>
      </c>
      <c r="F20" s="9">
        <f>SUMIFS(DataSpieler!G:G, DataSpieler!C:C, B20, DataSpieler!B:B, IF(LOWER($L$5)="alle","*", $L$5))</f>
        <v>0</v>
      </c>
      <c r="G20" s="9">
        <f t="shared" si="1"/>
        <v>0</v>
      </c>
      <c r="H20" s="9">
        <f>COUNTIFS(DataSpieler!C:C, B20, DataSpieler!H:H,"x", DataSpieler!B:B, IF(LOWER($L$5)="alle","*", $L$5))</f>
        <v>0</v>
      </c>
      <c r="I20" s="11" t="str">
        <f>IFERROR(AVERAGEIFS(DataSpieler!E:E, DataSpieler!C:C, B20, DataSpieler!B:B, IF(LOWER($L$5)="alle","*", $L$5)), "")</f>
        <v/>
      </c>
    </row>
    <row r="21" spans="1:9" ht="17" customHeight="1" thickBot="1" x14ac:dyDescent="0.25">
      <c r="A21" s="1"/>
      <c r="B21" s="50" t="s">
        <v>23</v>
      </c>
      <c r="C21" s="51"/>
      <c r="D21" s="8">
        <f>COUNTIFS(
DataSpieler!C:C, $B21,
DataSpieler!E:E, "&gt;0",
DataSpieler!B:B, IF(LOWER($L$5)="alle", "*", $L$5)
)</f>
        <v>0</v>
      </c>
      <c r="E21" s="9">
        <f>SUMIFS(DataSpieler!F:F, DataSpieler!C:C, B21, DataSpieler!B:B, IF(LOWER($L$5)="alle","*", $L$5))</f>
        <v>0</v>
      </c>
      <c r="F21" s="9">
        <f>SUMIFS(DataSpieler!G:G, DataSpieler!C:C, B21, DataSpieler!B:B, IF(LOWER($L$5)="alle","*", $L$5))</f>
        <v>0</v>
      </c>
      <c r="G21" s="9">
        <f t="shared" si="1"/>
        <v>0</v>
      </c>
      <c r="H21" s="9">
        <f>COUNTIFS(DataSpieler!C:C, B21, DataSpieler!H:H,"x", DataSpieler!B:B, IF(LOWER($L$5)="alle","*", $L$5))</f>
        <v>0</v>
      </c>
      <c r="I21" s="11" t="str">
        <f>IFERROR(AVERAGEIFS(DataSpieler!E:E, DataSpieler!C:C, B21, DataSpieler!B:B, IF(LOWER($L$5)="alle","*", $L$5)), "")</f>
        <v/>
      </c>
    </row>
    <row r="22" spans="1:9" ht="17" customHeight="1" thickBot="1" x14ac:dyDescent="0.25">
      <c r="A22" s="1"/>
      <c r="B22" s="50" t="s">
        <v>24</v>
      </c>
      <c r="C22" s="51"/>
      <c r="D22" s="8">
        <f>COUNTIFS(
DataSpieler!C:C, $B22,
DataSpieler!E:E, "&gt;0",
DataSpieler!B:B, IF(LOWER($L$5)="alle", "*", $L$5)
)</f>
        <v>0</v>
      </c>
      <c r="E22" s="9">
        <f>SUMIFS(DataSpieler!F:F, DataSpieler!C:C, B22, DataSpieler!B:B, IF(LOWER($L$5)="alle","*", $L$5))</f>
        <v>0</v>
      </c>
      <c r="F22" s="9">
        <f>SUMIFS(DataSpieler!G:G, DataSpieler!C:C, B22, DataSpieler!B:B, IF(LOWER($L$5)="alle","*", $L$5))</f>
        <v>0</v>
      </c>
      <c r="G22" s="9">
        <f t="shared" si="1"/>
        <v>0</v>
      </c>
      <c r="H22" s="9">
        <f>COUNTIFS(DataSpieler!C:C, B22, DataSpieler!H:H,"x", DataSpieler!B:B, IF(LOWER($L$5)="alle","*", $L$5))</f>
        <v>0</v>
      </c>
      <c r="I22" s="11" t="str">
        <f>IFERROR(AVERAGEIFS(DataSpieler!E:E, DataSpieler!C:C, B22, DataSpieler!B:B, IF(LOWER($L$5)="alle","*", $L$5)), "")</f>
        <v/>
      </c>
    </row>
    <row r="23" spans="1:9" ht="17" customHeight="1" thickBot="1" x14ac:dyDescent="0.25">
      <c r="A23" s="1"/>
      <c r="B23" s="54" t="s">
        <v>25</v>
      </c>
      <c r="C23" s="51"/>
      <c r="D23" s="2" t="s">
        <v>2</v>
      </c>
      <c r="E23" s="3" t="s">
        <v>3</v>
      </c>
      <c r="F23" s="4" t="s">
        <v>4</v>
      </c>
      <c r="G23" s="5" t="s">
        <v>5</v>
      </c>
      <c r="H23" s="6" t="s">
        <v>6</v>
      </c>
      <c r="I23" s="7" t="s">
        <v>7</v>
      </c>
    </row>
    <row r="24" spans="1:9" ht="17" customHeight="1" thickBot="1" x14ac:dyDescent="0.25">
      <c r="A24" s="1"/>
      <c r="B24" s="50" t="s">
        <v>77</v>
      </c>
      <c r="C24" s="51"/>
      <c r="D24" s="8">
        <f>COUNTIFS(
DataSpieler!C:C, $B24,
DataSpieler!E:E, "&gt;0",
DataSpieler!B:B, IF(LOWER($L$5)="alle", "*", $L$5)
)</f>
        <v>0</v>
      </c>
      <c r="E24" s="9">
        <f>SUMIFS(DataSpieler!F:F, DataSpieler!C:C, B24, DataSpieler!B:B, IF(LOWER($L$5)="alle","*", $L$5))</f>
        <v>0</v>
      </c>
      <c r="F24" s="9">
        <f>SUMIFS(DataSpieler!G:G, DataSpieler!C:C, B24, DataSpieler!B:B, IF(LOWER($L$5)="alle","*", $L$5))</f>
        <v>0</v>
      </c>
      <c r="G24" s="9">
        <f>E24+F24</f>
        <v>0</v>
      </c>
      <c r="H24" s="9">
        <f>COUNTIFS(DataSpieler!C:C, B24, DataSpieler!H:H,"x", DataSpieler!B:B, IF(LOWER($L$5)="alle","*", $L$5))</f>
        <v>0</v>
      </c>
      <c r="I24" s="11" t="str">
        <f>IFERROR(AVERAGEIFS(DataSpieler!E:E, DataSpieler!C:C, B24, DataSpieler!B:B, IF(LOWER($L$5)="alle","*", $L$5)), "")</f>
        <v/>
      </c>
    </row>
    <row r="25" spans="1:9" ht="17" customHeight="1" thickBot="1" x14ac:dyDescent="0.25">
      <c r="A25" s="1"/>
      <c r="B25" s="50" t="s">
        <v>26</v>
      </c>
      <c r="C25" s="51"/>
      <c r="D25" s="8">
        <f>COUNTIFS(
DataSpieler!C:C, $B25,
DataSpieler!E:E, "&gt;0",
DataSpieler!B:B, IF(LOWER($L$5)="alle", "*", $L$5)
)</f>
        <v>0</v>
      </c>
      <c r="E25" s="9">
        <f>SUMIFS(DataSpieler!F:F, DataSpieler!C:C, B25, DataSpieler!B:B, IF(LOWER($L$5)="alle","*", $L$5))</f>
        <v>0</v>
      </c>
      <c r="F25" s="9">
        <f>SUMIFS(DataSpieler!G:G, DataSpieler!C:C, B25, DataSpieler!B:B, IF(LOWER($L$5)="alle","*", $L$5))</f>
        <v>0</v>
      </c>
      <c r="G25" s="9">
        <f>E25+F25</f>
        <v>0</v>
      </c>
      <c r="H25" s="9">
        <f>COUNTIFS(DataSpieler!C:C, B25, DataSpieler!H:H,"x", DataSpieler!B:B, IF(LOWER($L$5)="alle","*", $L$5))</f>
        <v>0</v>
      </c>
      <c r="I25" s="11" t="str">
        <f>IFERROR(AVERAGEIFS(DataSpieler!E:E, DataSpieler!C:C, B25, DataSpieler!B:B, IF(LOWER($L$5)="alle","*", $L$5)), "")</f>
        <v/>
      </c>
    </row>
    <row r="26" spans="1:9" ht="17" customHeight="1" thickBot="1" x14ac:dyDescent="0.25">
      <c r="A26" s="1"/>
      <c r="B26" s="50" t="s">
        <v>12</v>
      </c>
      <c r="C26" s="51"/>
      <c r="D26" s="8">
        <f>COUNTIFS(
DataSpieler!C:C, $B26,
DataSpieler!E:E, "&gt;0",
DataSpieler!B:B, IF(LOWER($L$5)="alle", "*", $L$5)
)</f>
        <v>0</v>
      </c>
      <c r="E26" s="9">
        <f>SUMIFS(DataSpieler!F:F, DataSpieler!C:C, B26, DataSpieler!B:B, IF(LOWER($L$5)="alle","*", $L$5))</f>
        <v>0</v>
      </c>
      <c r="F26" s="9">
        <f>SUMIFS(DataSpieler!G:G, DataSpieler!C:C, B26, DataSpieler!B:B, IF(LOWER($L$5)="alle","*", $L$5))</f>
        <v>0</v>
      </c>
      <c r="G26" s="9">
        <f>E26+F26</f>
        <v>0</v>
      </c>
      <c r="H26" s="9">
        <f>COUNTIFS(DataSpieler!C:C, B26, DataSpieler!H:H,"x", DataSpieler!B:B, IF(LOWER($L$5)="alle","*", $L$5))</f>
        <v>0</v>
      </c>
      <c r="I26" s="11" t="str">
        <f>IFERROR(AVERAGEIFS(DataSpieler!E:E, DataSpieler!C:C, B26, DataSpieler!B:B, IF(LOWER($L$5)="alle","*", $L$5)), "")</f>
        <v/>
      </c>
    </row>
    <row r="27" spans="1:9" ht="17" customHeight="1" thickBo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8" customHeight="1" thickTop="1" thickBot="1" x14ac:dyDescent="0.25">
      <c r="A28" s="1"/>
      <c r="B28" s="66" t="s">
        <v>27</v>
      </c>
      <c r="C28" s="67"/>
      <c r="D28" s="67"/>
      <c r="E28" s="22"/>
      <c r="F28" s="68" t="s">
        <v>28</v>
      </c>
      <c r="G28" s="73"/>
      <c r="I28" s="69" t="s">
        <v>29</v>
      </c>
    </row>
    <row r="29" spans="1:9" ht="18" customHeight="1" thickTop="1" thickBot="1" x14ac:dyDescent="0.25">
      <c r="A29" s="1"/>
      <c r="B29" s="12" t="s">
        <v>30</v>
      </c>
      <c r="C29" s="13" t="s">
        <v>31</v>
      </c>
      <c r="D29" s="21" t="s">
        <v>87</v>
      </c>
      <c r="F29" s="12" t="s">
        <v>32</v>
      </c>
      <c r="G29" s="13" t="s">
        <v>33</v>
      </c>
      <c r="H29" s="18"/>
      <c r="I29" s="70"/>
    </row>
    <row r="30" spans="1:9" ht="17" customHeight="1" thickTop="1" x14ac:dyDescent="0.2">
      <c r="A30" s="1"/>
      <c r="B30" s="64">
        <f>COUNTIFS(DataSpiele!H:H, "Sieg", DataSpiele!B:B, IF(LOWER($L$5)="alle","*", $L$5))</f>
        <v>0</v>
      </c>
      <c r="C30" s="60">
        <f>COUNTIFS(DataSpiele!H:H, "Niederlage", DataSpiele!B:B, IF(LOWER($L$5)="alle","*", $L$5))</f>
        <v>0</v>
      </c>
      <c r="D30" s="65">
        <f>COUNTIFS(DataSpiele!H:H, "Unentschieden", DataSpiele!B:B, IF(LOWER($L$5)="alle","*", $L$5))</f>
        <v>0</v>
      </c>
      <c r="F30" s="64">
        <f>SUMIFS(DataSpiele!D:D,DataSpiele!I:I,"Heim",DataSpiele!B:B,IF(LOWER($L$5)="alle","*", $L$5))+SUMIFS(DataSpiele!E:E,DataSpiele!I:I,"Gast",DataSpiele!B:B,IF(LOWER($L$5)="alle","*", $L$5))</f>
        <v>0</v>
      </c>
      <c r="G30" s="60">
        <f>SUMIFS(DataSpiele!D:D,DataSpiele!I:I,"Gast",DataSpiele!B:B,IF(LOWER($L$5)="alle","*", $L$5))+SUMIFS(DataSpiele!E:E,DataSpiele!I:I,"Heim",DataSpiele!B:B,IF(LOWER($L$5)="alle","*", $L$5))</f>
        <v>0</v>
      </c>
      <c r="I30" s="76">
        <f>COUNTIFS(DataSpiele!Z:Z, "ja", DataSpiele!B:B, IF(LOWER($L$5)="alle","*", $L$5))</f>
        <v>0</v>
      </c>
    </row>
    <row r="31" spans="1:9" ht="17" customHeight="1" thickBot="1" x14ac:dyDescent="0.25">
      <c r="A31" s="1"/>
      <c r="B31" s="49"/>
      <c r="C31" s="49"/>
      <c r="D31" s="49"/>
      <c r="F31" s="49"/>
      <c r="G31" s="49"/>
      <c r="I31" s="77"/>
    </row>
    <row r="32" spans="1:9" ht="18" customHeight="1" thickTop="1" thickBot="1" x14ac:dyDescent="0.25">
      <c r="A32" s="1"/>
      <c r="B32" s="12" t="s">
        <v>34</v>
      </c>
      <c r="C32" s="13" t="s">
        <v>35</v>
      </c>
      <c r="D32" s="1"/>
      <c r="F32" s="12" t="s">
        <v>36</v>
      </c>
      <c r="G32" s="13" t="s">
        <v>36</v>
      </c>
      <c r="H32" s="1"/>
      <c r="I32" s="1"/>
    </row>
    <row r="33" spans="1:9" ht="17" customHeight="1" thickTop="1" thickBot="1" x14ac:dyDescent="0.25">
      <c r="A33" s="1"/>
      <c r="B33" s="64">
        <f>COUNTIFS(DataSpiele!X:X,"Gegner hat aufgegeben (Sieg)", DataSpiele!B:B, IF(LOWER($L$5)="alle","*", $L$5))</f>
        <v>0</v>
      </c>
      <c r="C33" s="60">
        <f>COUNTIF(L:M,"ET")</f>
        <v>0</v>
      </c>
      <c r="D33" s="14"/>
      <c r="F33" s="57" t="e">
        <f>F30/D4</f>
        <v>#DIV/0!</v>
      </c>
      <c r="G33" s="61" t="e">
        <f>G30/D4</f>
        <v>#DIV/0!</v>
      </c>
      <c r="I33" s="58" t="s">
        <v>37</v>
      </c>
    </row>
    <row r="34" spans="1:9" ht="17" customHeight="1" thickTop="1" thickBot="1" x14ac:dyDescent="0.25">
      <c r="A34" s="1"/>
      <c r="B34" s="49"/>
      <c r="C34" s="49"/>
      <c r="D34" s="1"/>
      <c r="F34" s="49"/>
      <c r="G34" s="49"/>
      <c r="H34" s="18"/>
      <c r="I34" s="59"/>
    </row>
    <row r="35" spans="1:9" ht="18" customHeight="1" thickTop="1" thickBot="1" x14ac:dyDescent="0.25">
      <c r="A35" s="1"/>
      <c r="B35" s="31"/>
      <c r="C35" s="32"/>
      <c r="D35" s="1"/>
      <c r="F35" s="1"/>
      <c r="G35" s="1"/>
      <c r="I35" s="74" t="str">
        <f>IFERROR(AVERAGEIFS(DataSpiele!J:J, DataSpiele!B:B, IF(LOWER($L$5)="alle","*", $L$5)), " ")</f>
        <v xml:space="preserve"> </v>
      </c>
    </row>
    <row r="36" spans="1:9" ht="18" customHeight="1" thickTop="1" thickBot="1" x14ac:dyDescent="0.25">
      <c r="A36" s="1"/>
      <c r="B36" s="33"/>
      <c r="C36" s="33"/>
      <c r="D36" s="1"/>
      <c r="F36" s="68" t="s">
        <v>38</v>
      </c>
      <c r="G36" s="53">
        <f>_xlfn.MAXIFS(D57:D71,C57:C71,"Sieg")</f>
        <v>0</v>
      </c>
      <c r="H36" s="19"/>
      <c r="I36" s="75"/>
    </row>
    <row r="37" spans="1:9" ht="18" customHeight="1" thickTop="1" thickBot="1" x14ac:dyDescent="0.25">
      <c r="A37" s="1"/>
      <c r="D37" s="1"/>
      <c r="F37" s="49"/>
      <c r="G37" s="49"/>
      <c r="H37" s="19"/>
      <c r="I37" s="19"/>
    </row>
    <row r="38" spans="1:9" ht="18" customHeight="1" thickTop="1" thickBot="1" x14ac:dyDescent="0.25">
      <c r="A38" s="1"/>
      <c r="B38" s="1"/>
      <c r="C38" s="1"/>
      <c r="D38" s="1"/>
      <c r="E38" s="1"/>
      <c r="F38" s="1"/>
      <c r="G38" s="1"/>
      <c r="H38" s="20"/>
      <c r="I38" s="1"/>
    </row>
    <row r="39" spans="1:9" ht="17" customHeight="1" thickTop="1" thickBot="1" x14ac:dyDescent="0.25">
      <c r="A39" s="1"/>
      <c r="B39" s="68" t="s">
        <v>39</v>
      </c>
      <c r="C39" s="53" t="str">
        <f>INDEX(B4:B22,MATCH(C41,E4:E22,0))</f>
        <v>C. Pina</v>
      </c>
      <c r="D39" s="53" t="str">
        <f>INDEX(B4:B22,MATCH(D41,E4:E22,0))</f>
        <v>C. Pina</v>
      </c>
      <c r="E39" s="53" t="str">
        <f>INDEX(B4:B22,MATCH(E41,E4:E22,0))</f>
        <v>C. Pina</v>
      </c>
      <c r="F39" s="1"/>
      <c r="G39" s="83" t="s">
        <v>90</v>
      </c>
      <c r="H39" s="85" t="s">
        <v>91</v>
      </c>
      <c r="I39" s="87" t="s">
        <v>92</v>
      </c>
    </row>
    <row r="40" spans="1:9" ht="17" customHeight="1" thickTop="1" thickBot="1" x14ac:dyDescent="0.25">
      <c r="A40" s="1"/>
      <c r="B40" s="63"/>
      <c r="C40" s="49"/>
      <c r="D40" s="49"/>
      <c r="E40" s="49"/>
      <c r="F40" s="34"/>
      <c r="G40" s="84"/>
      <c r="H40" s="86"/>
      <c r="I40" s="88"/>
    </row>
    <row r="41" spans="1:9" ht="17" customHeight="1" thickTop="1" thickBot="1" x14ac:dyDescent="0.25">
      <c r="A41" s="1"/>
      <c r="B41" s="63"/>
      <c r="C41" s="52">
        <f>LARGE(E1:E21, 1)</f>
        <v>0</v>
      </c>
      <c r="D41" s="52">
        <f>LARGE(E1:E21, 2)</f>
        <v>0</v>
      </c>
      <c r="E41" s="52">
        <f>LARGE(E1:E21, 3)</f>
        <v>0</v>
      </c>
      <c r="F41" s="34"/>
      <c r="G41" s="36" t="s">
        <v>88</v>
      </c>
      <c r="H41" s="40">
        <f>IFERROR(SUMIFS(DataSpiele!O:O, DataSpiele!B:B, IF(LOWER($L$5)="alle","*", $L$5)), " ")</f>
        <v>0</v>
      </c>
      <c r="I41" s="42">
        <f>IFERROR(SUMIFS(DataSpiele!P:P, DataSpiele!B:B, IF(LOWER($L$5)="alle","*", $L$5)), " ")</f>
        <v>0</v>
      </c>
    </row>
    <row r="42" spans="1:9" ht="17" customHeight="1" thickTop="1" thickBot="1" x14ac:dyDescent="0.25">
      <c r="A42" s="1"/>
      <c r="B42" s="49"/>
      <c r="C42" s="49"/>
      <c r="D42" s="49"/>
      <c r="E42" s="49"/>
      <c r="F42" s="34"/>
      <c r="G42" s="35" t="s">
        <v>89</v>
      </c>
      <c r="H42" s="41" t="str">
        <f>IFERROR(AVERAGEIFS(DataSpiele!O:O, DataSpiele!B:B, IF(LOWER($L$5)="alle","*", $L$5)), " ")</f>
        <v xml:space="preserve"> </v>
      </c>
      <c r="I42" s="43" t="str">
        <f>IFERROR(AVERAGEIFS(DataSpiele!P:P, DataSpiele!B:B, IF(LOWER($L$5)="alle","*", $L$5)), " ")</f>
        <v xml:space="preserve"> </v>
      </c>
    </row>
    <row r="43" spans="1:9" ht="18" customHeight="1" thickTop="1" thickBot="1" x14ac:dyDescent="0.25">
      <c r="A43" s="1"/>
      <c r="B43" s="1"/>
      <c r="C43" s="71"/>
      <c r="D43" s="72"/>
      <c r="E43" s="1"/>
      <c r="F43" s="1"/>
      <c r="G43" s="1"/>
      <c r="H43" s="1"/>
      <c r="I43" s="1"/>
    </row>
    <row r="44" spans="1:9" ht="17" customHeight="1" thickTop="1" thickBot="1" x14ac:dyDescent="0.25">
      <c r="A44" s="1"/>
      <c r="B44" s="68" t="s">
        <v>41</v>
      </c>
      <c r="C44" s="53" t="str">
        <f>INDEX(B4:B22,MATCH(C46,F4:F22,0))</f>
        <v>C. Pina</v>
      </c>
      <c r="D44" s="53" t="str">
        <f>INDEX(B4:B22,MATCH(D46,F4:F22,0))</f>
        <v>C. Pina</v>
      </c>
      <c r="E44" s="53" t="str">
        <f>INDEX(B4:B22,MATCH(E46,F4:F22,0))</f>
        <v>C. Pina</v>
      </c>
      <c r="F44" s="1"/>
      <c r="G44" s="83" t="s">
        <v>93</v>
      </c>
      <c r="H44" s="85" t="s">
        <v>91</v>
      </c>
      <c r="I44" s="87" t="s">
        <v>92</v>
      </c>
    </row>
    <row r="45" spans="1:9" ht="17" customHeight="1" thickTop="1" thickBot="1" x14ac:dyDescent="0.25">
      <c r="A45" s="1"/>
      <c r="B45" s="63"/>
      <c r="C45" s="49"/>
      <c r="D45" s="49"/>
      <c r="E45" s="49"/>
      <c r="F45" s="34"/>
      <c r="G45" s="84"/>
      <c r="H45" s="86"/>
      <c r="I45" s="88"/>
    </row>
    <row r="46" spans="1:9" ht="17" customHeight="1" thickTop="1" thickBot="1" x14ac:dyDescent="0.25">
      <c r="A46" s="1"/>
      <c r="B46" s="63"/>
      <c r="C46" s="52">
        <f>LARGE($F$3:$F$22, 1)</f>
        <v>0</v>
      </c>
      <c r="D46" s="52">
        <f>LARGE($F$3:$F$22, 2)</f>
        <v>0</v>
      </c>
      <c r="E46" s="52">
        <f>LARGE($F$3:$F$22, 3)</f>
        <v>0</v>
      </c>
      <c r="F46" s="1"/>
      <c r="G46" s="36" t="s">
        <v>94</v>
      </c>
      <c r="H46" s="44" t="str">
        <f>IFERROR(AVERAGEIFS(DataSpiele!Q:Q, DataSpiele!B:B, IF(LOWER($L$5)="alle","*", $L$5)), " ")</f>
        <v xml:space="preserve"> </v>
      </c>
      <c r="I46" s="45" t="str">
        <f>IFERROR(AVERAGEIFS(DataSpiele!R:R, DataSpiele!B:B, IF(LOWER($L$5)="alle","*", $L$5)), " ")</f>
        <v xml:space="preserve"> </v>
      </c>
    </row>
    <row r="47" spans="1:9" ht="17" customHeight="1" thickTop="1" thickBot="1" x14ac:dyDescent="0.25">
      <c r="A47" s="1"/>
      <c r="B47" s="49"/>
      <c r="C47" s="49"/>
      <c r="D47" s="49"/>
      <c r="E47" s="49"/>
      <c r="F47" s="1"/>
      <c r="G47" s="37" t="s">
        <v>95</v>
      </c>
      <c r="H47" s="46" t="str">
        <f>IFERROR(AVERAGEIFS(DataSpiele!S:S, DataSpiele!B:B, IF(LOWER($L$5)="alle","*", $L$5)), " ")</f>
        <v xml:space="preserve"> </v>
      </c>
      <c r="I47" s="47" t="str">
        <f>IFERROR(AVERAGEIFS(DataSpiele!T:T, DataSpiele!B:B, IF(LOWER($L$5)="alle","*", $L$5)), " ")</f>
        <v xml:space="preserve"> </v>
      </c>
    </row>
    <row r="48" spans="1:9" ht="18" customHeight="1" thickTop="1" thickBot="1" x14ac:dyDescent="0.25">
      <c r="A48" s="1"/>
      <c r="B48" s="15"/>
      <c r="C48" s="15"/>
      <c r="D48" s="1"/>
      <c r="E48" s="1"/>
      <c r="F48" s="1"/>
      <c r="G48" s="1"/>
      <c r="H48" s="1"/>
      <c r="I48" s="1"/>
    </row>
    <row r="49" spans="1:9" ht="17" customHeight="1" thickTop="1" thickBot="1" x14ac:dyDescent="0.25">
      <c r="A49" s="1"/>
      <c r="B49" s="62" t="s">
        <v>42</v>
      </c>
      <c r="C49" s="53" t="e">
        <f>INDEX(B4:B22,MATCH(C51,I4:I22,0))</f>
        <v>#NUM!</v>
      </c>
      <c r="D49" s="53" t="e">
        <f>INDEX(B4:B22,MATCH(D51,I4:I22,0))</f>
        <v>#NUM!</v>
      </c>
      <c r="E49" s="53" t="e">
        <f>INDEX(B4:B22,MATCH(E51,I4:I22,0))</f>
        <v>#NUM!</v>
      </c>
      <c r="F49" s="1"/>
      <c r="G49" s="80" t="s">
        <v>97</v>
      </c>
      <c r="H49" s="85" t="s">
        <v>91</v>
      </c>
      <c r="I49" s="87" t="s">
        <v>92</v>
      </c>
    </row>
    <row r="50" spans="1:9" ht="17" customHeight="1" thickTop="1" thickBot="1" x14ac:dyDescent="0.25">
      <c r="A50" s="1"/>
      <c r="B50" s="63"/>
      <c r="C50" s="49"/>
      <c r="D50" s="49"/>
      <c r="E50" s="49"/>
      <c r="F50" s="1"/>
      <c r="G50" s="81"/>
      <c r="H50" s="86"/>
      <c r="I50" s="88"/>
    </row>
    <row r="51" spans="1:9" ht="17" customHeight="1" thickTop="1" thickBot="1" x14ac:dyDescent="0.25">
      <c r="A51" s="1"/>
      <c r="B51" s="63"/>
      <c r="C51" s="48" t="e">
        <f>LARGE(I4:I22,1)</f>
        <v>#NUM!</v>
      </c>
      <c r="D51" s="48" t="e">
        <f>LARGE(I4:I22,2)</f>
        <v>#NUM!</v>
      </c>
      <c r="E51" s="48" t="e">
        <f>LARGE(I4:I22,3)</f>
        <v>#NUM!</v>
      </c>
      <c r="F51" s="1"/>
      <c r="G51" s="36" t="s">
        <v>94</v>
      </c>
      <c r="H51" s="44" t="str">
        <f>IFERROR(AVERAGEIFS(DataSpiele!K:K, DataSpiele!B:B, IF(LOWER($L$5)="alle","*", $L$5)), " ")</f>
        <v xml:space="preserve"> </v>
      </c>
      <c r="I51" s="45" t="str">
        <f>IFERROR(AVERAGEIFS(DataSpiele!L:L, DataSpiele!B:B, IF(LOWER($L$5)="alle","*", $L$5)), " ")</f>
        <v xml:space="preserve"> </v>
      </c>
    </row>
    <row r="52" spans="1:9" ht="17" customHeight="1" thickTop="1" thickBot="1" x14ac:dyDescent="0.25">
      <c r="A52" s="1"/>
      <c r="B52" s="49"/>
      <c r="C52" s="49"/>
      <c r="D52" s="49"/>
      <c r="E52" s="49"/>
      <c r="F52" s="1"/>
      <c r="G52" s="37" t="s">
        <v>96</v>
      </c>
      <c r="H52" s="46" t="str">
        <f>IFERROR(AVERAGEIFS(DataSpiele!M:M, DataSpiele!B:B, IF(LOWER($L$5)="alle","*", $L$5)), " ")</f>
        <v xml:space="preserve"> </v>
      </c>
      <c r="I52" s="47" t="str">
        <f>IFERROR(AVERAGEIFS(DataSpiele!N:N, DataSpiele!B:B, IF(LOWER($L$5)="alle","*", $L$5)), " ")</f>
        <v xml:space="preserve"> </v>
      </c>
    </row>
    <row r="53" spans="1:9" ht="17" customHeight="1" thickTop="1" x14ac:dyDescent="0.2">
      <c r="A53" s="1"/>
      <c r="B53" s="15"/>
      <c r="C53" s="15"/>
      <c r="D53" s="1"/>
      <c r="E53" s="1"/>
      <c r="F53" s="1"/>
      <c r="G53" s="1"/>
      <c r="H53" s="1"/>
      <c r="I53" s="1"/>
    </row>
    <row r="54" spans="1:9" x14ac:dyDescent="0.2">
      <c r="A54" s="1"/>
      <c r="B54" s="15"/>
      <c r="C54" s="15" t="s">
        <v>44</v>
      </c>
      <c r="D54" s="1"/>
      <c r="E54" s="1"/>
      <c r="F54" s="1"/>
      <c r="G54" s="1"/>
      <c r="H54" s="1"/>
      <c r="I54" s="1"/>
    </row>
    <row r="55" spans="1:9" ht="17" customHeight="1" thickBo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8" customHeight="1" thickTop="1" thickBot="1" x14ac:dyDescent="0.25">
      <c r="A56" s="1"/>
      <c r="B56" s="16" t="s">
        <v>45</v>
      </c>
      <c r="C56" s="16" t="s">
        <v>46</v>
      </c>
      <c r="D56" s="17" t="s">
        <v>47</v>
      </c>
      <c r="E56" s="17" t="s">
        <v>75</v>
      </c>
      <c r="F56" s="1"/>
      <c r="G56" s="80" t="s">
        <v>40</v>
      </c>
      <c r="I56" s="80" t="s">
        <v>43</v>
      </c>
    </row>
    <row r="57" spans="1:9" ht="17" customHeight="1" thickTop="1" thickBot="1" x14ac:dyDescent="0.25">
      <c r="A57" s="1"/>
      <c r="B57" s="25">
        <v>1</v>
      </c>
      <c r="C57" s="23" t="str" cm="1">
        <f t="array" ref="C57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57" s="24" t="str">
        <f>IF(OR(C57="Sieg",C57="Niederlage"),1,"")</f>
        <v/>
      </c>
      <c r="E57" s="23" t="str" cm="1">
        <f t="array" ref="E57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57" s="1"/>
      <c r="G57" s="81"/>
      <c r="I57" s="81"/>
    </row>
    <row r="58" spans="1:9" ht="18" thickTop="1" thickBot="1" x14ac:dyDescent="0.25">
      <c r="A58" s="1"/>
      <c r="B58" s="26">
        <v>2</v>
      </c>
      <c r="C58" s="23" t="str" cm="1">
        <f t="array" ref="C58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58" s="24" t="str">
        <f>IF(OR(C58="Sieg",C58="Niederlage"),IF(C58=C57,D57+1,1),"")</f>
        <v/>
      </c>
      <c r="E58" s="23" t="str" cm="1">
        <f t="array" ref="E58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58" s="1"/>
      <c r="G58" s="53" t="str">
        <f>INDEX(B4:B22,MATCH(G60,G4:G22,0))</f>
        <v>C. Pina</v>
      </c>
      <c r="I58" s="53" t="str">
        <f>INDEX(B4:B22,MATCH(I60,H4:H22,0))</f>
        <v>C. Pina</v>
      </c>
    </row>
    <row r="59" spans="1:9" ht="18" thickTop="1" thickBot="1" x14ac:dyDescent="0.25">
      <c r="A59" s="1"/>
      <c r="B59" s="26">
        <v>3</v>
      </c>
      <c r="C59" s="23" t="str" cm="1">
        <f t="array" ref="C59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59" s="24" t="str">
        <f t="shared" ref="D59:D71" si="2">IF(OR(C59="Sieg",C59="Niederlage"),IF(C59=C58,D58+1,1),"")</f>
        <v/>
      </c>
      <c r="E59" s="23" t="str" cm="1">
        <f t="array" ref="E59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59" s="1"/>
      <c r="G59" s="63"/>
      <c r="I59" s="82"/>
    </row>
    <row r="60" spans="1:9" ht="17" thickBot="1" x14ac:dyDescent="0.25">
      <c r="A60" s="1"/>
      <c r="B60" s="26">
        <v>4</v>
      </c>
      <c r="C60" s="23" t="str" cm="1">
        <f t="array" ref="C60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60" s="24" t="str">
        <f t="shared" si="2"/>
        <v/>
      </c>
      <c r="E60" s="23" t="str" cm="1">
        <f t="array" ref="E60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60" s="1"/>
      <c r="G60" s="39">
        <f>LARGE(G4:G22,1)</f>
        <v>0</v>
      </c>
      <c r="I60" s="38">
        <f>LARGE(H4:H22,1)</f>
        <v>0</v>
      </c>
    </row>
    <row r="61" spans="1:9" x14ac:dyDescent="0.2">
      <c r="A61" s="1"/>
      <c r="B61" s="26">
        <v>5</v>
      </c>
      <c r="C61" s="23" t="str" cm="1">
        <f t="array" ref="C61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61" s="24" t="str">
        <f t="shared" si="2"/>
        <v/>
      </c>
      <c r="E61" s="23" t="str" cm="1">
        <f t="array" ref="E61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61" s="1"/>
    </row>
    <row r="62" spans="1:9" x14ac:dyDescent="0.2">
      <c r="A62" s="1"/>
      <c r="B62" s="26">
        <v>6</v>
      </c>
      <c r="C62" s="23" t="str" cm="1">
        <f t="array" ref="C62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62" s="24" t="str">
        <f t="shared" si="2"/>
        <v/>
      </c>
      <c r="E62" s="23" t="str" cm="1">
        <f t="array" ref="E62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62" s="1"/>
    </row>
    <row r="63" spans="1:9" x14ac:dyDescent="0.2">
      <c r="A63" s="1"/>
      <c r="B63" s="26">
        <v>7</v>
      </c>
      <c r="C63" s="23" t="str" cm="1">
        <f t="array" ref="C63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63" s="24" t="str">
        <f t="shared" si="2"/>
        <v/>
      </c>
      <c r="E63" s="23" t="str" cm="1">
        <f t="array" ref="E63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63" s="1"/>
    </row>
    <row r="64" spans="1:9" x14ac:dyDescent="0.2">
      <c r="A64" s="1"/>
      <c r="B64" s="26">
        <v>8</v>
      </c>
      <c r="C64" s="23" t="str" cm="1">
        <f t="array" ref="C64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64" s="24" t="str">
        <f t="shared" si="2"/>
        <v/>
      </c>
      <c r="E64" s="23" t="str" cm="1">
        <f t="array" ref="E64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64" s="1"/>
    </row>
    <row r="65" spans="1:6" x14ac:dyDescent="0.2">
      <c r="A65" s="1"/>
      <c r="B65" s="26">
        <v>9</v>
      </c>
      <c r="C65" s="23" t="str" cm="1">
        <f t="array" ref="C65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65" s="24" t="str">
        <f t="shared" si="2"/>
        <v/>
      </c>
      <c r="E65" s="23" t="str" cm="1">
        <f t="array" ref="E65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65" s="1"/>
    </row>
    <row r="66" spans="1:6" x14ac:dyDescent="0.2">
      <c r="A66" s="1"/>
      <c r="B66" s="26">
        <v>10</v>
      </c>
      <c r="C66" s="23" t="str" cm="1">
        <f t="array" ref="C66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66" s="24" t="str">
        <f t="shared" si="2"/>
        <v/>
      </c>
      <c r="E66" s="23" t="str" cm="1">
        <f t="array" ref="E66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66" s="1"/>
    </row>
    <row r="67" spans="1:6" x14ac:dyDescent="0.2">
      <c r="A67" s="1"/>
      <c r="B67" s="26">
        <v>11</v>
      </c>
      <c r="C67" s="23" t="str" cm="1">
        <f t="array" ref="C67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67" s="24" t="str">
        <f t="shared" si="2"/>
        <v/>
      </c>
      <c r="E67" s="23" t="str" cm="1">
        <f t="array" ref="E67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67" s="1"/>
    </row>
    <row r="68" spans="1:6" x14ac:dyDescent="0.2">
      <c r="A68" s="1"/>
      <c r="B68" s="26">
        <v>12</v>
      </c>
      <c r="C68" s="23" t="str" cm="1">
        <f t="array" ref="C68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68" s="24" t="str">
        <f t="shared" si="2"/>
        <v/>
      </c>
      <c r="E68" s="23" t="str" cm="1">
        <f t="array" ref="E68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68" s="1"/>
    </row>
    <row r="69" spans="1:6" x14ac:dyDescent="0.2">
      <c r="A69" s="1"/>
      <c r="B69" s="26">
        <v>13</v>
      </c>
      <c r="C69" s="23" t="str" cm="1">
        <f t="array" ref="C69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69" s="24" t="str">
        <f t="shared" si="2"/>
        <v/>
      </c>
      <c r="E69" s="23" t="str" cm="1">
        <f t="array" ref="E69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69" s="1"/>
    </row>
    <row r="70" spans="1:6" x14ac:dyDescent="0.2">
      <c r="A70" s="1"/>
      <c r="B70" s="26">
        <v>14</v>
      </c>
      <c r="C70" s="23" t="str" cm="1">
        <f t="array" ref="C70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70" s="24" t="str">
        <f t="shared" si="2"/>
        <v/>
      </c>
      <c r="E70" s="23" t="str" cm="1">
        <f t="array" ref="E70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70" s="1"/>
    </row>
    <row r="71" spans="1:6" ht="17" thickBot="1" x14ac:dyDescent="0.25">
      <c r="A71" s="1"/>
      <c r="B71" s="27">
        <v>15</v>
      </c>
      <c r="C71" s="28" t="str" cm="1">
        <f t="array" ref="C71">IFERROR(
_xlfn.LET(
_xlpm.Kat,$L$5,
_xlpm.IDs,DataSpiele!$A$2:$A$9940,
_xlpm.Cats,DataSpiele!$B$2:$B$9940,
_xlpm.Res,DataSpiele!$H$2:$H$9940,
_xlpm.Inc,IF(_xlpm.Kat="Alle",_xlpm.IDs&lt;&gt;"",(_xlpm.IDs&lt;&gt;"")*(_xlpm.Cats=_xlpm.Kat)),
_xlpm.FRes,_xlfn._xlws.FILTER(_xlpm.Res,_xlpm.Inc),
_xlpm.N,MIN(15,ROWS(_xlpm.FRes)),
_xlpm.Start,ROWS(_xlpm.FRes)-_xlpm.N+1,
INDEX(_xlpm.FRes,_xlpm.Start + (ROW()-57))
),
""
)</f>
        <v/>
      </c>
      <c r="D71" s="29" t="str">
        <f t="shared" si="2"/>
        <v/>
      </c>
      <c r="E71" s="28" t="str" cm="1">
        <f t="array" ref="E71">IFERROR(
_xlfn.LET(
_xlpm.Kat,$L$5,
_xlpm.IDs,DataSpiele!$A$2:$A$9940,
_xlpm.Cats,DataSpiele!$B$2:$B$9940,
_xlpm.Inc,IF(_xlpm.Kat="Alle",_xlpm.IDs&lt;&gt;"",(_xlpm.IDs&lt;&gt;"")*(_xlpm.Cats=_xlpm.Kat)),
_xlpm.FCats,_xlfn._xlws.FILTER(_xlpm.Cats,_xlpm.Inc),
_xlpm.N,MIN(15,ROWS(_xlpm.FCats)),
_xlpm.Start,ROWS(_xlpm.FCats)-_xlpm.N+1,
_xlpm.k,ROW()-ROW($E$57),
INDEX(_xlpm.FCats,_xlpm.Start+_xlpm.k)
),
""
)</f>
        <v/>
      </c>
      <c r="F71" s="1"/>
    </row>
  </sheetData>
  <mergeCells count="77">
    <mergeCell ref="G56:G57"/>
    <mergeCell ref="G58:G59"/>
    <mergeCell ref="I56:I57"/>
    <mergeCell ref="I58:I59"/>
    <mergeCell ref="G39:G40"/>
    <mergeCell ref="H39:H40"/>
    <mergeCell ref="I39:I40"/>
    <mergeCell ref="G44:G45"/>
    <mergeCell ref="H44:H45"/>
    <mergeCell ref="I44:I45"/>
    <mergeCell ref="G49:G50"/>
    <mergeCell ref="H49:H50"/>
    <mergeCell ref="I49:I50"/>
    <mergeCell ref="B6:C6"/>
    <mergeCell ref="C30:C31"/>
    <mergeCell ref="B4:C4"/>
    <mergeCell ref="I30:I31"/>
    <mergeCell ref="B9:C9"/>
    <mergeCell ref="I28:I29"/>
    <mergeCell ref="C43:D43"/>
    <mergeCell ref="B44:B47"/>
    <mergeCell ref="F28:G28"/>
    <mergeCell ref="F30:F31"/>
    <mergeCell ref="G36:G37"/>
    <mergeCell ref="E46:E47"/>
    <mergeCell ref="C33:C34"/>
    <mergeCell ref="F36:F37"/>
    <mergeCell ref="I35:I36"/>
    <mergeCell ref="D39:D40"/>
    <mergeCell ref="B10:C10"/>
    <mergeCell ref="B33:B34"/>
    <mergeCell ref="B30:B31"/>
    <mergeCell ref="D30:D31"/>
    <mergeCell ref="E49:E50"/>
    <mergeCell ref="B18:C18"/>
    <mergeCell ref="C44:C45"/>
    <mergeCell ref="B28:D28"/>
    <mergeCell ref="B21:C21"/>
    <mergeCell ref="E44:E45"/>
    <mergeCell ref="B39:B42"/>
    <mergeCell ref="C46:C47"/>
    <mergeCell ref="D49:D50"/>
    <mergeCell ref="B16:C16"/>
    <mergeCell ref="E39:E40"/>
    <mergeCell ref="B25:C25"/>
    <mergeCell ref="B2:I2"/>
    <mergeCell ref="C41:C42"/>
    <mergeCell ref="B23:C23"/>
    <mergeCell ref="F33:F34"/>
    <mergeCell ref="B14:C14"/>
    <mergeCell ref="D41:D42"/>
    <mergeCell ref="B17:C17"/>
    <mergeCell ref="I33:I34"/>
    <mergeCell ref="B8:C8"/>
    <mergeCell ref="B13:C13"/>
    <mergeCell ref="G30:G31"/>
    <mergeCell ref="G33:G34"/>
    <mergeCell ref="B7:C7"/>
    <mergeCell ref="B3:C3"/>
    <mergeCell ref="B12:C12"/>
    <mergeCell ref="B11:C11"/>
    <mergeCell ref="E51:E52"/>
    <mergeCell ref="B22:C22"/>
    <mergeCell ref="D46:D47"/>
    <mergeCell ref="D51:D52"/>
    <mergeCell ref="B5:C5"/>
    <mergeCell ref="B20:C20"/>
    <mergeCell ref="B26:C26"/>
    <mergeCell ref="C49:C50"/>
    <mergeCell ref="D44:D45"/>
    <mergeCell ref="B24:C24"/>
    <mergeCell ref="B15:C15"/>
    <mergeCell ref="B19:C19"/>
    <mergeCell ref="C51:C52"/>
    <mergeCell ref="E41:E42"/>
    <mergeCell ref="C39:C40"/>
    <mergeCell ref="B49:B52"/>
  </mergeCells>
  <conditionalFormatting sqref="B39:C39">
    <cfRule type="containsText" dxfId="8" priority="3" operator="containsText" text="Gold">
      <formula>NOT(ISERROR(SEARCH(("Gold"),(B39))))</formula>
    </cfRule>
    <cfRule type="containsText" dxfId="7" priority="4" operator="containsText" text="Silver">
      <formula>NOT(ISERROR(SEARCH(("Silver"),(B39))))</formula>
    </cfRule>
    <cfRule type="containsText" dxfId="6" priority="5" operator="containsText" text="Bronze">
      <formula>NOT(ISERROR(SEARCH(("Bronze"),(B39))))</formula>
    </cfRule>
  </conditionalFormatting>
  <conditionalFormatting sqref="C57:C71">
    <cfRule type="cellIs" dxfId="5" priority="1" operator="equal">
      <formula>"Unentschieden"</formula>
    </cfRule>
    <cfRule type="cellIs" dxfId="4" priority="2" operator="equal">
      <formula>"Niederlage"</formula>
    </cfRule>
  </conditionalFormatting>
  <conditionalFormatting sqref="E4:E14 E16:E22 E24:E26">
    <cfRule type="expression" dxfId="3" priority="8">
      <formula>E4=MAX($E$4:$E$16)</formula>
    </cfRule>
  </conditionalFormatting>
  <conditionalFormatting sqref="F4:F14 F16:F22 F24:F26">
    <cfRule type="expression" dxfId="2" priority="9">
      <formula>F4=MAX($F$4:$F$14)</formula>
    </cfRule>
  </conditionalFormatting>
  <conditionalFormatting sqref="G4:G14 G16:G22 G24:G26">
    <cfRule type="expression" dxfId="1" priority="10">
      <formula>G4=MAX($G$4:$G$14)</formula>
    </cfRule>
  </conditionalFormatting>
  <conditionalFormatting sqref="H4:H14 H16:H22 H24:H26">
    <cfRule type="expression" dxfId="0" priority="11">
      <formula>H4=MAX($H$4:$H$14)</formula>
    </cfRule>
  </conditionalFormatting>
  <conditionalFormatting sqref="I4:I14 I16:I22 I24:I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:I22 I14 I24:I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L5" xr:uid="{00000000-0002-0000-0000-000000000000}">
      <formula1>"Alle,SquadBattles,Rivals,WeekendLeague / Champions,Live Event"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"/>
  <sheetViews>
    <sheetView workbookViewId="0">
      <selection activeCell="A20" sqref="A20"/>
    </sheetView>
  </sheetViews>
  <sheetFormatPr baseColWidth="10" defaultRowHeight="16" x14ac:dyDescent="0.2"/>
  <cols>
    <col min="2" max="2" width="12.6640625" bestFit="1" customWidth="1"/>
    <col min="3" max="3" width="13" bestFit="1" customWidth="1"/>
    <col min="4" max="4" width="15.1640625" bestFit="1" customWidth="1"/>
    <col min="7" max="7" width="15" bestFit="1" customWidth="1"/>
    <col min="8" max="8" width="15" customWidth="1"/>
    <col min="13" max="13" width="14.1640625" bestFit="1" customWidth="1"/>
    <col min="14" max="14" width="14.1640625" customWidth="1"/>
    <col min="21" max="21" width="19.5" bestFit="1" customWidth="1"/>
  </cols>
  <sheetData>
    <row r="1" spans="1:27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85</v>
      </c>
      <c r="M1" t="s">
        <v>59</v>
      </c>
      <c r="N1" t="s">
        <v>86</v>
      </c>
      <c r="O1" t="s">
        <v>60</v>
      </c>
      <c r="P1" t="s">
        <v>82</v>
      </c>
      <c r="Q1" t="s">
        <v>61</v>
      </c>
      <c r="R1" t="s">
        <v>83</v>
      </c>
      <c r="S1" t="s">
        <v>62</v>
      </c>
      <c r="T1" t="s">
        <v>84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81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activeCell="C31" sqref="C31"/>
    </sheetView>
  </sheetViews>
  <sheetFormatPr baseColWidth="10" defaultRowHeight="16" x14ac:dyDescent="0.2"/>
  <cols>
    <col min="2" max="2" width="12.6640625" bestFit="1" customWidth="1"/>
    <col min="5" max="5" width="10.83203125" style="30"/>
  </cols>
  <sheetData>
    <row r="1" spans="1:9" x14ac:dyDescent="0.2">
      <c r="A1" t="s">
        <v>48</v>
      </c>
      <c r="B1" t="s">
        <v>49</v>
      </c>
      <c r="C1" t="s">
        <v>69</v>
      </c>
      <c r="D1" t="s">
        <v>70</v>
      </c>
      <c r="E1" s="30" t="s">
        <v>71</v>
      </c>
      <c r="F1" t="s">
        <v>72</v>
      </c>
      <c r="G1" t="s">
        <v>73</v>
      </c>
      <c r="H1" t="s">
        <v>6</v>
      </c>
      <c r="I1" t="s">
        <v>74</v>
      </c>
    </row>
  </sheetData>
  <autoFilter ref="A1:I1" xr:uid="{00000000-0001-0000-0200-00000000000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Dashboard</vt:lpstr>
      <vt:lpstr>DataSpiele</vt:lpstr>
      <vt:lpstr>DataSpieler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Zuphael</dc:creator>
  <cp:keywords/>
  <dc:description/>
  <cp:lastModifiedBy>Kay Puppa</cp:lastModifiedBy>
  <dcterms:created xsi:type="dcterms:W3CDTF">2025-12-23T19:07:29Z</dcterms:created>
  <dcterms:modified xsi:type="dcterms:W3CDTF">2025-12-31T14:11:59Z</dcterms:modified>
  <cp:category/>
</cp:coreProperties>
</file>